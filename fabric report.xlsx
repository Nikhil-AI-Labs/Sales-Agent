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ANJANI\Desktop\"/>
    </mc:Choice>
  </mc:AlternateContent>
  <xr:revisionPtr revIDLastSave="0" documentId="13_ncr:1_{6001AAC2-6157-4F24-9E9C-583BB73DF40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JANTA" sheetId="2" r:id="rId1"/>
    <sheet name="REGULAR" sheetId="3" r:id="rId2"/>
    <sheet name="SILVER" sheetId="4" r:id="rId3"/>
    <sheet name="GOLD" sheetId="5" r:id="rId4"/>
    <sheet name="PLATINU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6" l="1"/>
  <c r="H4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6" i="6"/>
  <c r="H15" i="6"/>
  <c r="H14" i="6"/>
  <c r="H13" i="6"/>
  <c r="H12" i="6"/>
  <c r="H11" i="6"/>
  <c r="H10" i="6"/>
  <c r="H9" i="6"/>
  <c r="H8" i="6"/>
  <c r="H7" i="6"/>
  <c r="H6" i="6"/>
  <c r="H5" i="6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76" i="2"/>
  <c r="I74" i="2"/>
  <c r="I72" i="2"/>
  <c r="I70" i="2"/>
  <c r="I68" i="2"/>
  <c r="I66" i="2"/>
  <c r="I64" i="2"/>
  <c r="I46" i="2"/>
  <c r="I44" i="2"/>
  <c r="I42" i="2"/>
  <c r="I40" i="2"/>
  <c r="I38" i="2"/>
  <c r="I36" i="2"/>
  <c r="I34" i="2"/>
  <c r="I16" i="2"/>
  <c r="I14" i="2"/>
  <c r="I12" i="2"/>
  <c r="I10" i="2"/>
  <c r="I8" i="2"/>
  <c r="I6" i="2"/>
  <c r="I4" i="2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E6" i="6"/>
  <c r="F5" i="6"/>
  <c r="E5" i="6"/>
  <c r="F4" i="6"/>
  <c r="E4" i="6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64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E64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E76" i="2"/>
  <c r="E75" i="2"/>
  <c r="I75" i="2" s="1"/>
  <c r="E74" i="2"/>
  <c r="E73" i="2"/>
  <c r="I73" i="2" s="1"/>
  <c r="E72" i="2"/>
  <c r="E71" i="2"/>
  <c r="I71" i="2" s="1"/>
  <c r="E70" i="2"/>
  <c r="E69" i="2"/>
  <c r="I69" i="2" s="1"/>
  <c r="E68" i="2"/>
  <c r="E67" i="2"/>
  <c r="I67" i="2" s="1"/>
  <c r="E66" i="2"/>
  <c r="E65" i="2"/>
  <c r="I65" i="2" s="1"/>
  <c r="E64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E61" i="2"/>
  <c r="I61" i="2" s="1"/>
  <c r="E60" i="2"/>
  <c r="I60" i="2" s="1"/>
  <c r="E59" i="2"/>
  <c r="I59" i="2" s="1"/>
  <c r="E58" i="2"/>
  <c r="I58" i="2" s="1"/>
  <c r="E57" i="2"/>
  <c r="I57" i="2" s="1"/>
  <c r="E56" i="2"/>
  <c r="I56" i="2" s="1"/>
  <c r="E55" i="2"/>
  <c r="I55" i="2" s="1"/>
  <c r="E54" i="2"/>
  <c r="I54" i="2" s="1"/>
  <c r="E53" i="2"/>
  <c r="I53" i="2" s="1"/>
  <c r="E52" i="2"/>
  <c r="I52" i="2" s="1"/>
  <c r="E51" i="2"/>
  <c r="I51" i="2" s="1"/>
  <c r="E50" i="2"/>
  <c r="I50" i="2" s="1"/>
  <c r="E49" i="2"/>
  <c r="I49" i="2" s="1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E46" i="2"/>
  <c r="E45" i="2"/>
  <c r="I45" i="2" s="1"/>
  <c r="E44" i="2"/>
  <c r="E43" i="2"/>
  <c r="I43" i="2" s="1"/>
  <c r="E42" i="2"/>
  <c r="E41" i="2"/>
  <c r="I41" i="2" s="1"/>
  <c r="E40" i="2"/>
  <c r="E39" i="2"/>
  <c r="I39" i="2" s="1"/>
  <c r="E38" i="2"/>
  <c r="E37" i="2"/>
  <c r="I37" i="2" s="1"/>
  <c r="E36" i="2"/>
  <c r="E35" i="2"/>
  <c r="I35" i="2" s="1"/>
  <c r="E34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E31" i="2"/>
  <c r="I31" i="2" s="1"/>
  <c r="E30" i="2"/>
  <c r="I30" i="2" s="1"/>
  <c r="E29" i="2"/>
  <c r="I29" i="2" s="1"/>
  <c r="E28" i="2"/>
  <c r="I28" i="2" s="1"/>
  <c r="E27" i="2"/>
  <c r="I27" i="2" s="1"/>
  <c r="E26" i="2"/>
  <c r="I26" i="2" s="1"/>
  <c r="E25" i="2"/>
  <c r="I25" i="2" s="1"/>
  <c r="E24" i="2"/>
  <c r="I24" i="2" s="1"/>
  <c r="E23" i="2"/>
  <c r="I23" i="2" s="1"/>
  <c r="E22" i="2"/>
  <c r="I22" i="2" s="1"/>
  <c r="E21" i="2"/>
  <c r="I21" i="2" s="1"/>
  <c r="E20" i="2"/>
  <c r="I20" i="2" s="1"/>
  <c r="E19" i="2"/>
  <c r="I19" i="2" s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16" i="2"/>
  <c r="E15" i="2"/>
  <c r="I15" i="2" s="1"/>
  <c r="E14" i="2"/>
  <c r="E13" i="2"/>
  <c r="I13" i="2" s="1"/>
  <c r="E12" i="2"/>
  <c r="E11" i="2"/>
  <c r="I11" i="2" s="1"/>
  <c r="E10" i="2"/>
  <c r="E9" i="2"/>
  <c r="I9" i="2" s="1"/>
  <c r="E8" i="2"/>
  <c r="E7" i="2"/>
  <c r="I7" i="2" s="1"/>
  <c r="E6" i="2"/>
  <c r="E5" i="2"/>
  <c r="I5" i="2" s="1"/>
  <c r="E4" i="2"/>
</calcChain>
</file>

<file path=xl/sharedStrings.xml><?xml version="1.0" encoding="utf-8"?>
<sst xmlns="http://schemas.openxmlformats.org/spreadsheetml/2006/main" count="1385" uniqueCount="48">
  <si>
    <t>15-18%</t>
  </si>
  <si>
    <t>Size</t>
  </si>
  <si>
    <t>Grammage</t>
  </si>
  <si>
    <t>Strength</t>
  </si>
  <si>
    <t>Elongation</t>
  </si>
  <si>
    <t xml:space="preserve">MTR WEIGHT UL </t>
  </si>
  <si>
    <t>MTR WEIGHT LAM</t>
  </si>
  <si>
    <t>3.0 gram</t>
  </si>
  <si>
    <t>3.5 Gram</t>
  </si>
  <si>
    <t>4.0 Gram</t>
  </si>
  <si>
    <t>4.5 Gram</t>
  </si>
  <si>
    <t>5.0 Gram</t>
  </si>
  <si>
    <t>28-25</t>
  </si>
  <si>
    <t>30-33</t>
  </si>
  <si>
    <t>40-43</t>
  </si>
  <si>
    <t>45-48</t>
  </si>
  <si>
    <t>50-55</t>
  </si>
  <si>
    <t>30-35</t>
  </si>
  <si>
    <t>38-42</t>
  </si>
  <si>
    <t>55-60</t>
  </si>
  <si>
    <t>38-40</t>
  </si>
  <si>
    <t>16-19%</t>
  </si>
  <si>
    <t>42-46</t>
  </si>
  <si>
    <t>48-52</t>
  </si>
  <si>
    <t>58-61</t>
  </si>
  <si>
    <t>60-65</t>
  </si>
  <si>
    <t>65-70</t>
  </si>
  <si>
    <t>70-78</t>
  </si>
  <si>
    <t>83-88</t>
  </si>
  <si>
    <t>57-61</t>
  </si>
  <si>
    <t>18-22%</t>
  </si>
  <si>
    <t>65-71</t>
  </si>
  <si>
    <t>74-78</t>
  </si>
  <si>
    <t>88-93</t>
  </si>
  <si>
    <t>95-100</t>
  </si>
  <si>
    <t>Prod,in Mtr</t>
  </si>
  <si>
    <t>Prod,in KG</t>
  </si>
  <si>
    <t>PER DAY</t>
  </si>
  <si>
    <t>PP</t>
  </si>
  <si>
    <t>FILLAR</t>
  </si>
  <si>
    <t>TARGET PRODUCTION</t>
  </si>
  <si>
    <t>DENIAR</t>
  </si>
  <si>
    <t>630/2.48</t>
  </si>
  <si>
    <t>740/2.48</t>
  </si>
  <si>
    <t>840/2.48</t>
  </si>
  <si>
    <t>980/2.48</t>
  </si>
  <si>
    <t>1080/2.48</t>
  </si>
  <si>
    <t>RECIPI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</si>
</sst>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70BB-6AFE-B74C-9C1D-00115C6D0F91}">
  <dimension ref="A1:K76"/>
  <sheetViews>
    <sheetView tabSelected="1" topLeftCell="B1" workbookViewId="0">
      <selection activeCell="J9" sqref="J9"/>
    </sheetView>
  </sheetViews>
  <sheetFormatPr defaultColWidth="11.42578125" defaultRowHeight="15" x14ac:dyDescent="0.25"/>
  <cols>
    <col min="1" max="1" width="9.140625" style="5"/>
    <col min="2" max="3" width="11.42578125" style="5"/>
    <col min="4" max="4" width="12.7109375" style="5" customWidth="1"/>
    <col min="5" max="5" width="16.7109375" style="5" customWidth="1"/>
    <col min="6" max="6" width="19.5703125" style="5" customWidth="1"/>
    <col min="7" max="7" width="17.140625" style="10" customWidth="1"/>
    <col min="8" max="8" width="13.28515625" style="10" customWidth="1"/>
    <col min="9" max="9" width="12.7109375" style="10" customWidth="1"/>
    <col min="10" max="16384" width="11.42578125" style="5"/>
  </cols>
  <sheetData>
    <row r="1" spans="1:11" x14ac:dyDescent="0.25">
      <c r="H1" s="11" t="s">
        <v>40</v>
      </c>
      <c r="I1" s="11"/>
    </row>
    <row r="2" spans="1:11" s="9" customFormat="1" x14ac:dyDescent="0.25">
      <c r="G2" s="5"/>
      <c r="H2" s="9" t="s">
        <v>37</v>
      </c>
      <c r="I2" s="9" t="s">
        <v>37</v>
      </c>
      <c r="J2" s="11" t="s">
        <v>47</v>
      </c>
      <c r="K2" s="11"/>
    </row>
    <row r="3" spans="1:11" s="9" customFormat="1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41</v>
      </c>
      <c r="H3" s="9" t="s">
        <v>35</v>
      </c>
      <c r="I3" s="9" t="s">
        <v>36</v>
      </c>
      <c r="J3" s="9" t="s">
        <v>38</v>
      </c>
      <c r="K3" s="9" t="s">
        <v>39</v>
      </c>
    </row>
    <row r="4" spans="1:11" x14ac:dyDescent="0.25">
      <c r="A4" s="5">
        <v>12</v>
      </c>
      <c r="B4" s="5" t="s">
        <v>7</v>
      </c>
      <c r="C4" s="5" t="s">
        <v>12</v>
      </c>
      <c r="D4" s="5" t="s">
        <v>0</v>
      </c>
      <c r="E4" s="5">
        <f>+A4*3</f>
        <v>36</v>
      </c>
      <c r="F4" s="5">
        <f>+A4*3.5</f>
        <v>42</v>
      </c>
      <c r="G4" s="10" t="s">
        <v>42</v>
      </c>
      <c r="H4" s="10">
        <v>2400</v>
      </c>
      <c r="I4" s="10">
        <f t="shared" ref="I4:I16" si="0">+E4*H4/1000</f>
        <v>86.4</v>
      </c>
      <c r="J4" s="5">
        <v>45</v>
      </c>
      <c r="K4" s="5">
        <v>55</v>
      </c>
    </row>
    <row r="5" spans="1:11" x14ac:dyDescent="0.25">
      <c r="A5" s="5">
        <v>15</v>
      </c>
      <c r="B5" s="5" t="s">
        <v>7</v>
      </c>
      <c r="C5" s="5" t="s">
        <v>12</v>
      </c>
      <c r="D5" s="5" t="s">
        <v>0</v>
      </c>
      <c r="E5" s="5">
        <f t="shared" ref="E5:E16" si="1">+A5*3</f>
        <v>45</v>
      </c>
      <c r="F5" s="5">
        <f t="shared" ref="F5:F16" si="2">+A5*3.5</f>
        <v>52.5</v>
      </c>
      <c r="G5" s="10" t="s">
        <v>42</v>
      </c>
      <c r="H5" s="10">
        <v>2400</v>
      </c>
      <c r="I5" s="10">
        <f t="shared" si="0"/>
        <v>108</v>
      </c>
      <c r="J5" s="5">
        <v>45</v>
      </c>
      <c r="K5" s="5">
        <v>55</v>
      </c>
    </row>
    <row r="6" spans="1:11" x14ac:dyDescent="0.25">
      <c r="A6" s="5">
        <v>17</v>
      </c>
      <c r="B6" s="5" t="s">
        <v>7</v>
      </c>
      <c r="C6" s="5" t="s">
        <v>12</v>
      </c>
      <c r="D6" s="5" t="s">
        <v>0</v>
      </c>
      <c r="E6" s="5">
        <f t="shared" si="1"/>
        <v>51</v>
      </c>
      <c r="F6" s="5">
        <f t="shared" si="2"/>
        <v>59.5</v>
      </c>
      <c r="G6" s="10" t="s">
        <v>42</v>
      </c>
      <c r="H6" s="10">
        <v>2400</v>
      </c>
      <c r="I6" s="10">
        <f t="shared" si="0"/>
        <v>122.4</v>
      </c>
      <c r="J6" s="5">
        <v>45</v>
      </c>
      <c r="K6" s="5">
        <v>55</v>
      </c>
    </row>
    <row r="7" spans="1:11" x14ac:dyDescent="0.25">
      <c r="A7" s="5">
        <v>19</v>
      </c>
      <c r="B7" s="5" t="s">
        <v>7</v>
      </c>
      <c r="C7" s="5" t="s">
        <v>12</v>
      </c>
      <c r="D7" s="5" t="s">
        <v>0</v>
      </c>
      <c r="E7" s="5">
        <f t="shared" si="1"/>
        <v>57</v>
      </c>
      <c r="F7" s="5">
        <f t="shared" si="2"/>
        <v>66.5</v>
      </c>
      <c r="G7" s="10" t="s">
        <v>42</v>
      </c>
      <c r="H7" s="10">
        <v>2200</v>
      </c>
      <c r="I7" s="10">
        <f t="shared" si="0"/>
        <v>125.4</v>
      </c>
      <c r="J7" s="5">
        <v>45</v>
      </c>
      <c r="K7" s="5">
        <v>55</v>
      </c>
    </row>
    <row r="8" spans="1:11" x14ac:dyDescent="0.25">
      <c r="A8" s="5">
        <v>20</v>
      </c>
      <c r="B8" s="5" t="s">
        <v>7</v>
      </c>
      <c r="C8" s="5" t="s">
        <v>12</v>
      </c>
      <c r="D8" s="5" t="s">
        <v>0</v>
      </c>
      <c r="E8" s="5">
        <f t="shared" si="1"/>
        <v>60</v>
      </c>
      <c r="F8" s="5">
        <f t="shared" si="2"/>
        <v>70</v>
      </c>
      <c r="G8" s="10" t="s">
        <v>42</v>
      </c>
      <c r="H8" s="10">
        <v>2200</v>
      </c>
      <c r="I8" s="10">
        <f t="shared" si="0"/>
        <v>132</v>
      </c>
      <c r="J8" s="5">
        <v>45</v>
      </c>
      <c r="K8" s="5">
        <v>55</v>
      </c>
    </row>
    <row r="9" spans="1:11" x14ac:dyDescent="0.25">
      <c r="A9" s="5">
        <v>22</v>
      </c>
      <c r="B9" s="5" t="s">
        <v>7</v>
      </c>
      <c r="C9" s="5" t="s">
        <v>12</v>
      </c>
      <c r="D9" s="5" t="s">
        <v>0</v>
      </c>
      <c r="E9" s="5">
        <f t="shared" si="1"/>
        <v>66</v>
      </c>
      <c r="F9" s="5">
        <f t="shared" si="2"/>
        <v>77</v>
      </c>
      <c r="G9" s="10" t="s">
        <v>42</v>
      </c>
      <c r="H9" s="10">
        <v>2200</v>
      </c>
      <c r="I9" s="10">
        <f t="shared" si="0"/>
        <v>145.19999999999999</v>
      </c>
      <c r="J9" s="5">
        <v>45</v>
      </c>
      <c r="K9" s="5">
        <v>55</v>
      </c>
    </row>
    <row r="10" spans="1:11" x14ac:dyDescent="0.25">
      <c r="A10" s="5">
        <v>24</v>
      </c>
      <c r="B10" s="5" t="s">
        <v>7</v>
      </c>
      <c r="C10" s="5" t="s">
        <v>12</v>
      </c>
      <c r="D10" s="5" t="s">
        <v>0</v>
      </c>
      <c r="E10" s="5">
        <f t="shared" si="1"/>
        <v>72</v>
      </c>
      <c r="F10" s="5">
        <f t="shared" si="2"/>
        <v>84</v>
      </c>
      <c r="G10" s="10" t="s">
        <v>42</v>
      </c>
      <c r="H10" s="10">
        <v>2100</v>
      </c>
      <c r="I10" s="10">
        <f t="shared" si="0"/>
        <v>151.19999999999999</v>
      </c>
      <c r="J10" s="5">
        <v>45</v>
      </c>
      <c r="K10" s="5">
        <v>55</v>
      </c>
    </row>
    <row r="11" spans="1:11" x14ac:dyDescent="0.25">
      <c r="A11" s="5">
        <v>26</v>
      </c>
      <c r="B11" s="5" t="s">
        <v>7</v>
      </c>
      <c r="C11" s="5" t="s">
        <v>12</v>
      </c>
      <c r="D11" s="5" t="s">
        <v>0</v>
      </c>
      <c r="E11" s="5">
        <f t="shared" si="1"/>
        <v>78</v>
      </c>
      <c r="F11" s="5">
        <f t="shared" si="2"/>
        <v>91</v>
      </c>
      <c r="G11" s="10" t="s">
        <v>42</v>
      </c>
      <c r="H11" s="10">
        <v>2000</v>
      </c>
      <c r="I11" s="10">
        <f t="shared" si="0"/>
        <v>156</v>
      </c>
      <c r="J11" s="5">
        <v>45</v>
      </c>
      <c r="K11" s="5">
        <v>55</v>
      </c>
    </row>
    <row r="12" spans="1:11" x14ac:dyDescent="0.25">
      <c r="A12" s="5">
        <v>28</v>
      </c>
      <c r="B12" s="5" t="s">
        <v>7</v>
      </c>
      <c r="C12" s="5" t="s">
        <v>12</v>
      </c>
      <c r="D12" s="5" t="s">
        <v>0</v>
      </c>
      <c r="E12" s="5">
        <f t="shared" si="1"/>
        <v>84</v>
      </c>
      <c r="F12" s="5">
        <f t="shared" si="2"/>
        <v>98</v>
      </c>
      <c r="G12" s="10" t="s">
        <v>42</v>
      </c>
      <c r="H12" s="10">
        <v>1900</v>
      </c>
      <c r="I12" s="10">
        <f t="shared" si="0"/>
        <v>159.6</v>
      </c>
      <c r="J12" s="5">
        <v>45</v>
      </c>
      <c r="K12" s="5">
        <v>55</v>
      </c>
    </row>
    <row r="13" spans="1:11" x14ac:dyDescent="0.25">
      <c r="A13" s="5">
        <v>30</v>
      </c>
      <c r="B13" s="5" t="s">
        <v>7</v>
      </c>
      <c r="C13" s="5" t="s">
        <v>12</v>
      </c>
      <c r="D13" s="5" t="s">
        <v>0</v>
      </c>
      <c r="E13" s="5">
        <f t="shared" si="1"/>
        <v>90</v>
      </c>
      <c r="F13" s="5">
        <f t="shared" si="2"/>
        <v>105</v>
      </c>
      <c r="G13" s="10" t="s">
        <v>42</v>
      </c>
      <c r="H13" s="10">
        <v>1800</v>
      </c>
      <c r="I13" s="10">
        <f t="shared" si="0"/>
        <v>162</v>
      </c>
      <c r="J13" s="5">
        <v>45</v>
      </c>
      <c r="K13" s="5">
        <v>55</v>
      </c>
    </row>
    <row r="14" spans="1:11" x14ac:dyDescent="0.25">
      <c r="A14" s="5">
        <v>32</v>
      </c>
      <c r="B14" s="5" t="s">
        <v>7</v>
      </c>
      <c r="C14" s="5" t="s">
        <v>12</v>
      </c>
      <c r="D14" s="5" t="s">
        <v>0</v>
      </c>
      <c r="E14" s="5">
        <f t="shared" si="1"/>
        <v>96</v>
      </c>
      <c r="F14" s="5">
        <f t="shared" si="2"/>
        <v>112</v>
      </c>
      <c r="G14" s="10" t="s">
        <v>42</v>
      </c>
      <c r="H14" s="10">
        <v>1750</v>
      </c>
      <c r="I14" s="10">
        <f t="shared" si="0"/>
        <v>168</v>
      </c>
      <c r="J14" s="5">
        <v>45</v>
      </c>
      <c r="K14" s="5">
        <v>55</v>
      </c>
    </row>
    <row r="15" spans="1:11" x14ac:dyDescent="0.25">
      <c r="A15" s="5">
        <v>34</v>
      </c>
      <c r="B15" s="5" t="s">
        <v>7</v>
      </c>
      <c r="C15" s="5" t="s">
        <v>12</v>
      </c>
      <c r="D15" s="5" t="s">
        <v>0</v>
      </c>
      <c r="E15" s="5">
        <f t="shared" si="1"/>
        <v>102</v>
      </c>
      <c r="F15" s="5">
        <f t="shared" si="2"/>
        <v>119</v>
      </c>
      <c r="G15" s="10" t="s">
        <v>42</v>
      </c>
      <c r="H15" s="10">
        <v>1650</v>
      </c>
      <c r="I15" s="10">
        <f t="shared" si="0"/>
        <v>168.3</v>
      </c>
      <c r="J15" s="5">
        <v>45</v>
      </c>
      <c r="K15" s="5">
        <v>55</v>
      </c>
    </row>
    <row r="16" spans="1:11" x14ac:dyDescent="0.25">
      <c r="A16" s="5">
        <v>36</v>
      </c>
      <c r="B16" s="5" t="s">
        <v>7</v>
      </c>
      <c r="C16" s="5" t="s">
        <v>12</v>
      </c>
      <c r="D16" s="5" t="s">
        <v>0</v>
      </c>
      <c r="E16" s="5">
        <f t="shared" si="1"/>
        <v>108</v>
      </c>
      <c r="F16" s="5">
        <f t="shared" si="2"/>
        <v>126</v>
      </c>
      <c r="G16" s="10" t="s">
        <v>42</v>
      </c>
      <c r="H16" s="10">
        <v>1600</v>
      </c>
      <c r="I16" s="10">
        <f t="shared" si="0"/>
        <v>172.8</v>
      </c>
      <c r="J16" s="5">
        <v>45</v>
      </c>
      <c r="K16" s="5">
        <v>55</v>
      </c>
    </row>
    <row r="17" spans="1:11" x14ac:dyDescent="0.25">
      <c r="G17" s="2"/>
    </row>
    <row r="18" spans="1:11" x14ac:dyDescent="0.25">
      <c r="A18" s="5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9" t="s">
        <v>41</v>
      </c>
      <c r="H18" s="9" t="s">
        <v>35</v>
      </c>
      <c r="I18" s="9" t="s">
        <v>36</v>
      </c>
      <c r="J18" s="9" t="s">
        <v>38</v>
      </c>
      <c r="K18" s="9" t="s">
        <v>39</v>
      </c>
    </row>
    <row r="19" spans="1:11" x14ac:dyDescent="0.25">
      <c r="A19" s="5">
        <v>12</v>
      </c>
      <c r="B19" s="5" t="s">
        <v>8</v>
      </c>
      <c r="C19" s="5" t="s">
        <v>13</v>
      </c>
      <c r="D19" s="5" t="s">
        <v>0</v>
      </c>
      <c r="E19" s="5">
        <f>+A19*3.5</f>
        <v>42</v>
      </c>
      <c r="F19" s="5">
        <f>+A19*4</f>
        <v>48</v>
      </c>
      <c r="G19" s="10" t="s">
        <v>43</v>
      </c>
      <c r="H19" s="10">
        <v>2400</v>
      </c>
      <c r="I19" s="10">
        <f t="shared" ref="I19:I31" si="3">+E19*H19/1000</f>
        <v>100.8</v>
      </c>
      <c r="J19" s="5">
        <v>45</v>
      </c>
      <c r="K19" s="5">
        <v>55</v>
      </c>
    </row>
    <row r="20" spans="1:11" x14ac:dyDescent="0.25">
      <c r="A20" s="5">
        <v>15</v>
      </c>
      <c r="B20" s="5" t="s">
        <v>8</v>
      </c>
      <c r="C20" s="5" t="s">
        <v>13</v>
      </c>
      <c r="D20" s="5" t="s">
        <v>0</v>
      </c>
      <c r="E20" s="5">
        <f t="shared" ref="E20:E31" si="4">+A20*3.5</f>
        <v>52.5</v>
      </c>
      <c r="F20" s="5">
        <f t="shared" ref="F20:F31" si="5">+A20*4</f>
        <v>60</v>
      </c>
      <c r="G20" s="10" t="s">
        <v>43</v>
      </c>
      <c r="H20" s="10">
        <v>2400</v>
      </c>
      <c r="I20" s="10">
        <f t="shared" si="3"/>
        <v>126</v>
      </c>
      <c r="J20" s="5">
        <v>45</v>
      </c>
      <c r="K20" s="5">
        <v>55</v>
      </c>
    </row>
    <row r="21" spans="1:11" x14ac:dyDescent="0.25">
      <c r="A21" s="5">
        <v>17</v>
      </c>
      <c r="B21" s="5" t="s">
        <v>8</v>
      </c>
      <c r="C21" s="5" t="s">
        <v>13</v>
      </c>
      <c r="D21" s="5" t="s">
        <v>0</v>
      </c>
      <c r="E21" s="5">
        <f t="shared" si="4"/>
        <v>59.5</v>
      </c>
      <c r="F21" s="5">
        <f t="shared" si="5"/>
        <v>68</v>
      </c>
      <c r="G21" s="10" t="s">
        <v>43</v>
      </c>
      <c r="H21" s="10">
        <v>2400</v>
      </c>
      <c r="I21" s="10">
        <f t="shared" si="3"/>
        <v>142.80000000000001</v>
      </c>
      <c r="J21" s="5">
        <v>45</v>
      </c>
      <c r="K21" s="5">
        <v>55</v>
      </c>
    </row>
    <row r="22" spans="1:11" x14ac:dyDescent="0.25">
      <c r="A22" s="5">
        <v>19</v>
      </c>
      <c r="B22" s="5" t="s">
        <v>8</v>
      </c>
      <c r="C22" s="5" t="s">
        <v>13</v>
      </c>
      <c r="D22" s="5" t="s">
        <v>0</v>
      </c>
      <c r="E22" s="5">
        <f t="shared" si="4"/>
        <v>66.5</v>
      </c>
      <c r="F22" s="5">
        <f t="shared" si="5"/>
        <v>76</v>
      </c>
      <c r="G22" s="10" t="s">
        <v>43</v>
      </c>
      <c r="H22" s="10">
        <v>2200</v>
      </c>
      <c r="I22" s="10">
        <f t="shared" si="3"/>
        <v>146.30000000000001</v>
      </c>
      <c r="J22" s="5">
        <v>45</v>
      </c>
      <c r="K22" s="5">
        <v>55</v>
      </c>
    </row>
    <row r="23" spans="1:11" x14ac:dyDescent="0.25">
      <c r="A23" s="5">
        <v>20</v>
      </c>
      <c r="B23" s="5" t="s">
        <v>8</v>
      </c>
      <c r="C23" s="5" t="s">
        <v>13</v>
      </c>
      <c r="D23" s="5" t="s">
        <v>0</v>
      </c>
      <c r="E23" s="5">
        <f t="shared" si="4"/>
        <v>70</v>
      </c>
      <c r="F23" s="5">
        <f t="shared" si="5"/>
        <v>80</v>
      </c>
      <c r="G23" s="10" t="s">
        <v>43</v>
      </c>
      <c r="H23" s="10">
        <v>2200</v>
      </c>
      <c r="I23" s="10">
        <f t="shared" si="3"/>
        <v>154</v>
      </c>
      <c r="J23" s="5">
        <v>45</v>
      </c>
      <c r="K23" s="5">
        <v>55</v>
      </c>
    </row>
    <row r="24" spans="1:11" x14ac:dyDescent="0.25">
      <c r="A24" s="5">
        <v>22</v>
      </c>
      <c r="B24" s="5" t="s">
        <v>8</v>
      </c>
      <c r="C24" s="5" t="s">
        <v>13</v>
      </c>
      <c r="D24" s="5" t="s">
        <v>0</v>
      </c>
      <c r="E24" s="5">
        <f t="shared" si="4"/>
        <v>77</v>
      </c>
      <c r="F24" s="5">
        <f t="shared" si="5"/>
        <v>88</v>
      </c>
      <c r="G24" s="10" t="s">
        <v>43</v>
      </c>
      <c r="H24" s="10">
        <v>2200</v>
      </c>
      <c r="I24" s="10">
        <f t="shared" si="3"/>
        <v>169.4</v>
      </c>
      <c r="J24" s="5">
        <v>45</v>
      </c>
      <c r="K24" s="5">
        <v>55</v>
      </c>
    </row>
    <row r="25" spans="1:11" x14ac:dyDescent="0.25">
      <c r="A25" s="5">
        <v>24</v>
      </c>
      <c r="B25" s="5" t="s">
        <v>8</v>
      </c>
      <c r="C25" s="5" t="s">
        <v>13</v>
      </c>
      <c r="D25" s="5" t="s">
        <v>0</v>
      </c>
      <c r="E25" s="5">
        <f t="shared" si="4"/>
        <v>84</v>
      </c>
      <c r="F25" s="5">
        <f t="shared" si="5"/>
        <v>96</v>
      </c>
      <c r="G25" s="10" t="s">
        <v>43</v>
      </c>
      <c r="H25" s="10">
        <v>2100</v>
      </c>
      <c r="I25" s="10">
        <f t="shared" si="3"/>
        <v>176.4</v>
      </c>
      <c r="J25" s="5">
        <v>45</v>
      </c>
      <c r="K25" s="5">
        <v>55</v>
      </c>
    </row>
    <row r="26" spans="1:11" x14ac:dyDescent="0.25">
      <c r="A26" s="5">
        <v>26</v>
      </c>
      <c r="B26" s="5" t="s">
        <v>8</v>
      </c>
      <c r="C26" s="5" t="s">
        <v>13</v>
      </c>
      <c r="D26" s="5" t="s">
        <v>0</v>
      </c>
      <c r="E26" s="5">
        <f t="shared" si="4"/>
        <v>91</v>
      </c>
      <c r="F26" s="5">
        <f t="shared" si="5"/>
        <v>104</v>
      </c>
      <c r="G26" s="10" t="s">
        <v>43</v>
      </c>
      <c r="H26" s="10">
        <v>2000</v>
      </c>
      <c r="I26" s="10">
        <f t="shared" si="3"/>
        <v>182</v>
      </c>
      <c r="J26" s="5">
        <v>45</v>
      </c>
      <c r="K26" s="5">
        <v>55</v>
      </c>
    </row>
    <row r="27" spans="1:11" x14ac:dyDescent="0.25">
      <c r="A27" s="5">
        <v>28</v>
      </c>
      <c r="B27" s="5" t="s">
        <v>8</v>
      </c>
      <c r="C27" s="5" t="s">
        <v>13</v>
      </c>
      <c r="D27" s="5" t="s">
        <v>0</v>
      </c>
      <c r="E27" s="5">
        <f t="shared" si="4"/>
        <v>98</v>
      </c>
      <c r="F27" s="5">
        <f t="shared" si="5"/>
        <v>112</v>
      </c>
      <c r="G27" s="10" t="s">
        <v>43</v>
      </c>
      <c r="H27" s="10">
        <v>1900</v>
      </c>
      <c r="I27" s="10">
        <f t="shared" si="3"/>
        <v>186.2</v>
      </c>
      <c r="J27" s="5">
        <v>45</v>
      </c>
      <c r="K27" s="5">
        <v>55</v>
      </c>
    </row>
    <row r="28" spans="1:11" x14ac:dyDescent="0.25">
      <c r="A28" s="5">
        <v>30</v>
      </c>
      <c r="B28" s="5" t="s">
        <v>8</v>
      </c>
      <c r="C28" s="5" t="s">
        <v>13</v>
      </c>
      <c r="D28" s="5" t="s">
        <v>0</v>
      </c>
      <c r="E28" s="5">
        <f t="shared" si="4"/>
        <v>105</v>
      </c>
      <c r="F28" s="5">
        <f t="shared" si="5"/>
        <v>120</v>
      </c>
      <c r="G28" s="10" t="s">
        <v>43</v>
      </c>
      <c r="H28" s="10">
        <v>1800</v>
      </c>
      <c r="I28" s="10">
        <f t="shared" si="3"/>
        <v>189</v>
      </c>
      <c r="J28" s="5">
        <v>45</v>
      </c>
      <c r="K28" s="5">
        <v>55</v>
      </c>
    </row>
    <row r="29" spans="1:11" x14ac:dyDescent="0.25">
      <c r="A29" s="5">
        <v>32</v>
      </c>
      <c r="B29" s="5" t="s">
        <v>8</v>
      </c>
      <c r="C29" s="5" t="s">
        <v>13</v>
      </c>
      <c r="D29" s="5" t="s">
        <v>0</v>
      </c>
      <c r="E29" s="5">
        <f t="shared" si="4"/>
        <v>112</v>
      </c>
      <c r="F29" s="5">
        <f t="shared" si="5"/>
        <v>128</v>
      </c>
      <c r="G29" s="10" t="s">
        <v>43</v>
      </c>
      <c r="H29" s="10">
        <v>1750</v>
      </c>
      <c r="I29" s="10">
        <f t="shared" si="3"/>
        <v>196</v>
      </c>
      <c r="J29" s="5">
        <v>45</v>
      </c>
      <c r="K29" s="5">
        <v>55</v>
      </c>
    </row>
    <row r="30" spans="1:11" x14ac:dyDescent="0.25">
      <c r="A30" s="5">
        <v>34</v>
      </c>
      <c r="B30" s="5" t="s">
        <v>8</v>
      </c>
      <c r="C30" s="5" t="s">
        <v>13</v>
      </c>
      <c r="D30" s="5" t="s">
        <v>0</v>
      </c>
      <c r="E30" s="5">
        <f t="shared" si="4"/>
        <v>119</v>
      </c>
      <c r="F30" s="5">
        <f t="shared" si="5"/>
        <v>136</v>
      </c>
      <c r="G30" s="10" t="s">
        <v>43</v>
      </c>
      <c r="H30" s="10">
        <v>1650</v>
      </c>
      <c r="I30" s="10">
        <f t="shared" si="3"/>
        <v>196.35</v>
      </c>
      <c r="J30" s="5">
        <v>45</v>
      </c>
      <c r="K30" s="5">
        <v>55</v>
      </c>
    </row>
    <row r="31" spans="1:11" x14ac:dyDescent="0.25">
      <c r="A31" s="5">
        <v>36</v>
      </c>
      <c r="B31" s="5" t="s">
        <v>8</v>
      </c>
      <c r="C31" s="5" t="s">
        <v>13</v>
      </c>
      <c r="D31" s="5" t="s">
        <v>0</v>
      </c>
      <c r="E31" s="5">
        <f t="shared" si="4"/>
        <v>126</v>
      </c>
      <c r="F31" s="5">
        <f t="shared" si="5"/>
        <v>144</v>
      </c>
      <c r="G31" s="10" t="s">
        <v>43</v>
      </c>
      <c r="H31" s="10">
        <v>1600</v>
      </c>
      <c r="I31" s="10">
        <f t="shared" si="3"/>
        <v>201.6</v>
      </c>
      <c r="J31" s="5">
        <v>45</v>
      </c>
      <c r="K31" s="5">
        <v>55</v>
      </c>
    </row>
    <row r="32" spans="1:11" x14ac:dyDescent="0.25">
      <c r="G32" s="2"/>
    </row>
    <row r="33" spans="1:11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9" t="s">
        <v>41</v>
      </c>
      <c r="H33" s="9" t="s">
        <v>35</v>
      </c>
      <c r="I33" s="9" t="s">
        <v>36</v>
      </c>
      <c r="J33" s="9" t="s">
        <v>38</v>
      </c>
      <c r="K33" s="9" t="s">
        <v>39</v>
      </c>
    </row>
    <row r="34" spans="1:11" x14ac:dyDescent="0.25">
      <c r="A34" s="2">
        <v>12</v>
      </c>
      <c r="B34" s="2" t="s">
        <v>9</v>
      </c>
      <c r="C34" s="2" t="s">
        <v>14</v>
      </c>
      <c r="D34" s="5" t="s">
        <v>0</v>
      </c>
      <c r="E34" s="2">
        <f>+A34*4</f>
        <v>48</v>
      </c>
      <c r="F34" s="2">
        <f>+A34*4.5</f>
        <v>54</v>
      </c>
      <c r="G34" s="2" t="s">
        <v>44</v>
      </c>
      <c r="H34" s="10">
        <v>2400</v>
      </c>
      <c r="I34" s="10">
        <f t="shared" ref="I34:I46" si="6">+E34*H34/1000</f>
        <v>115.2</v>
      </c>
      <c r="J34" s="5">
        <v>45</v>
      </c>
      <c r="K34" s="5">
        <v>55</v>
      </c>
    </row>
    <row r="35" spans="1:11" x14ac:dyDescent="0.25">
      <c r="A35" s="2">
        <v>15</v>
      </c>
      <c r="B35" s="2" t="s">
        <v>9</v>
      </c>
      <c r="C35" s="2" t="s">
        <v>14</v>
      </c>
      <c r="D35" s="5" t="s">
        <v>0</v>
      </c>
      <c r="E35" s="2">
        <f t="shared" ref="E35:E46" si="7">+A35*4</f>
        <v>60</v>
      </c>
      <c r="F35" s="2">
        <f t="shared" ref="F35:F46" si="8">+A35*4.5</f>
        <v>67.5</v>
      </c>
      <c r="G35" s="2" t="s">
        <v>44</v>
      </c>
      <c r="H35" s="10">
        <v>2400</v>
      </c>
      <c r="I35" s="10">
        <f t="shared" si="6"/>
        <v>144</v>
      </c>
      <c r="J35" s="5">
        <v>45</v>
      </c>
      <c r="K35" s="5">
        <v>55</v>
      </c>
    </row>
    <row r="36" spans="1:11" x14ac:dyDescent="0.25">
      <c r="A36" s="2">
        <v>17</v>
      </c>
      <c r="B36" s="2" t="s">
        <v>9</v>
      </c>
      <c r="C36" s="2" t="s">
        <v>14</v>
      </c>
      <c r="D36" s="5" t="s">
        <v>0</v>
      </c>
      <c r="E36" s="2">
        <f t="shared" si="7"/>
        <v>68</v>
      </c>
      <c r="F36" s="2">
        <f t="shared" si="8"/>
        <v>76.5</v>
      </c>
      <c r="G36" s="2" t="s">
        <v>44</v>
      </c>
      <c r="H36" s="10">
        <v>2400</v>
      </c>
      <c r="I36" s="10">
        <f t="shared" si="6"/>
        <v>163.19999999999999</v>
      </c>
      <c r="J36" s="5">
        <v>45</v>
      </c>
      <c r="K36" s="5">
        <v>55</v>
      </c>
    </row>
    <row r="37" spans="1:11" x14ac:dyDescent="0.25">
      <c r="A37" s="2">
        <v>19</v>
      </c>
      <c r="B37" s="2" t="s">
        <v>9</v>
      </c>
      <c r="C37" s="2" t="s">
        <v>14</v>
      </c>
      <c r="D37" s="5" t="s">
        <v>0</v>
      </c>
      <c r="E37" s="2">
        <f t="shared" si="7"/>
        <v>76</v>
      </c>
      <c r="F37" s="2">
        <f t="shared" si="8"/>
        <v>85.5</v>
      </c>
      <c r="G37" s="2" t="s">
        <v>44</v>
      </c>
      <c r="H37" s="10">
        <v>2200</v>
      </c>
      <c r="I37" s="10">
        <f t="shared" si="6"/>
        <v>167.2</v>
      </c>
      <c r="J37" s="5">
        <v>45</v>
      </c>
      <c r="K37" s="5">
        <v>55</v>
      </c>
    </row>
    <row r="38" spans="1:11" x14ac:dyDescent="0.25">
      <c r="A38" s="2">
        <v>20</v>
      </c>
      <c r="B38" s="2" t="s">
        <v>9</v>
      </c>
      <c r="C38" s="2" t="s">
        <v>14</v>
      </c>
      <c r="D38" s="5" t="s">
        <v>0</v>
      </c>
      <c r="E38" s="2">
        <f t="shared" si="7"/>
        <v>80</v>
      </c>
      <c r="F38" s="2">
        <f t="shared" si="8"/>
        <v>90</v>
      </c>
      <c r="G38" s="2" t="s">
        <v>44</v>
      </c>
      <c r="H38" s="10">
        <v>2200</v>
      </c>
      <c r="I38" s="10">
        <f t="shared" si="6"/>
        <v>176</v>
      </c>
      <c r="J38" s="5">
        <v>45</v>
      </c>
      <c r="K38" s="5">
        <v>55</v>
      </c>
    </row>
    <row r="39" spans="1:11" x14ac:dyDescent="0.25">
      <c r="A39" s="2">
        <v>22</v>
      </c>
      <c r="B39" s="2" t="s">
        <v>9</v>
      </c>
      <c r="C39" s="2" t="s">
        <v>14</v>
      </c>
      <c r="D39" s="5" t="s">
        <v>0</v>
      </c>
      <c r="E39" s="2">
        <f t="shared" si="7"/>
        <v>88</v>
      </c>
      <c r="F39" s="2">
        <f t="shared" si="8"/>
        <v>99</v>
      </c>
      <c r="G39" s="2" t="s">
        <v>44</v>
      </c>
      <c r="H39" s="10">
        <v>2200</v>
      </c>
      <c r="I39" s="10">
        <f t="shared" si="6"/>
        <v>193.6</v>
      </c>
      <c r="J39" s="5">
        <v>45</v>
      </c>
      <c r="K39" s="5">
        <v>55</v>
      </c>
    </row>
    <row r="40" spans="1:11" x14ac:dyDescent="0.25">
      <c r="A40" s="2">
        <v>24</v>
      </c>
      <c r="B40" s="2" t="s">
        <v>9</v>
      </c>
      <c r="C40" s="2" t="s">
        <v>14</v>
      </c>
      <c r="D40" s="5" t="s">
        <v>0</v>
      </c>
      <c r="E40" s="2">
        <f t="shared" si="7"/>
        <v>96</v>
      </c>
      <c r="F40" s="2">
        <f t="shared" si="8"/>
        <v>108</v>
      </c>
      <c r="G40" s="2" t="s">
        <v>44</v>
      </c>
      <c r="H40" s="10">
        <v>2100</v>
      </c>
      <c r="I40" s="10">
        <f t="shared" si="6"/>
        <v>201.6</v>
      </c>
      <c r="J40" s="5">
        <v>45</v>
      </c>
      <c r="K40" s="5">
        <v>55</v>
      </c>
    </row>
    <row r="41" spans="1:11" x14ac:dyDescent="0.25">
      <c r="A41" s="2">
        <v>26</v>
      </c>
      <c r="B41" s="2" t="s">
        <v>9</v>
      </c>
      <c r="C41" s="2" t="s">
        <v>14</v>
      </c>
      <c r="D41" s="5" t="s">
        <v>0</v>
      </c>
      <c r="E41" s="2">
        <f t="shared" si="7"/>
        <v>104</v>
      </c>
      <c r="F41" s="2">
        <f t="shared" si="8"/>
        <v>117</v>
      </c>
      <c r="G41" s="2" t="s">
        <v>44</v>
      </c>
      <c r="H41" s="10">
        <v>2000</v>
      </c>
      <c r="I41" s="10">
        <f t="shared" si="6"/>
        <v>208</v>
      </c>
      <c r="J41" s="5">
        <v>45</v>
      </c>
      <c r="K41" s="5">
        <v>55</v>
      </c>
    </row>
    <row r="42" spans="1:11" x14ac:dyDescent="0.25">
      <c r="A42" s="2">
        <v>28</v>
      </c>
      <c r="B42" s="2" t="s">
        <v>9</v>
      </c>
      <c r="C42" s="2" t="s">
        <v>14</v>
      </c>
      <c r="D42" s="5" t="s">
        <v>0</v>
      </c>
      <c r="E42" s="2">
        <f t="shared" si="7"/>
        <v>112</v>
      </c>
      <c r="F42" s="2">
        <f t="shared" si="8"/>
        <v>126</v>
      </c>
      <c r="G42" s="2" t="s">
        <v>44</v>
      </c>
      <c r="H42" s="10">
        <v>1900</v>
      </c>
      <c r="I42" s="10">
        <f t="shared" si="6"/>
        <v>212.8</v>
      </c>
      <c r="J42" s="5">
        <v>45</v>
      </c>
      <c r="K42" s="5">
        <v>55</v>
      </c>
    </row>
    <row r="43" spans="1:11" x14ac:dyDescent="0.25">
      <c r="A43" s="2">
        <v>30</v>
      </c>
      <c r="B43" s="2" t="s">
        <v>9</v>
      </c>
      <c r="C43" s="2" t="s">
        <v>14</v>
      </c>
      <c r="D43" s="5" t="s">
        <v>0</v>
      </c>
      <c r="E43" s="2">
        <f t="shared" si="7"/>
        <v>120</v>
      </c>
      <c r="F43" s="2">
        <f t="shared" si="8"/>
        <v>135</v>
      </c>
      <c r="G43" s="2" t="s">
        <v>44</v>
      </c>
      <c r="H43" s="10">
        <v>1800</v>
      </c>
      <c r="I43" s="10">
        <f t="shared" si="6"/>
        <v>216</v>
      </c>
      <c r="J43" s="5">
        <v>45</v>
      </c>
      <c r="K43" s="5">
        <v>55</v>
      </c>
    </row>
    <row r="44" spans="1:11" x14ac:dyDescent="0.25">
      <c r="A44" s="2">
        <v>32</v>
      </c>
      <c r="B44" s="2" t="s">
        <v>9</v>
      </c>
      <c r="C44" s="2" t="s">
        <v>14</v>
      </c>
      <c r="D44" s="5" t="s">
        <v>0</v>
      </c>
      <c r="E44" s="2">
        <f t="shared" si="7"/>
        <v>128</v>
      </c>
      <c r="F44" s="2">
        <f t="shared" si="8"/>
        <v>144</v>
      </c>
      <c r="G44" s="2" t="s">
        <v>44</v>
      </c>
      <c r="H44" s="10">
        <v>1750</v>
      </c>
      <c r="I44" s="10">
        <f t="shared" si="6"/>
        <v>224</v>
      </c>
      <c r="J44" s="5">
        <v>45</v>
      </c>
      <c r="K44" s="5">
        <v>55</v>
      </c>
    </row>
    <row r="45" spans="1:11" x14ac:dyDescent="0.25">
      <c r="A45" s="2">
        <v>34</v>
      </c>
      <c r="B45" s="2" t="s">
        <v>9</v>
      </c>
      <c r="C45" s="2" t="s">
        <v>14</v>
      </c>
      <c r="D45" s="5" t="s">
        <v>0</v>
      </c>
      <c r="E45" s="2">
        <f t="shared" si="7"/>
        <v>136</v>
      </c>
      <c r="F45" s="2">
        <f t="shared" si="8"/>
        <v>153</v>
      </c>
      <c r="G45" s="2" t="s">
        <v>44</v>
      </c>
      <c r="H45" s="10">
        <v>1650</v>
      </c>
      <c r="I45" s="10">
        <f t="shared" si="6"/>
        <v>224.4</v>
      </c>
      <c r="J45" s="5">
        <v>45</v>
      </c>
      <c r="K45" s="5">
        <v>55</v>
      </c>
    </row>
    <row r="46" spans="1:11" x14ac:dyDescent="0.25">
      <c r="A46" s="2">
        <v>36</v>
      </c>
      <c r="B46" s="2" t="s">
        <v>9</v>
      </c>
      <c r="C46" s="2" t="s">
        <v>14</v>
      </c>
      <c r="D46" s="5" t="s">
        <v>0</v>
      </c>
      <c r="E46" s="2">
        <f t="shared" si="7"/>
        <v>144</v>
      </c>
      <c r="F46" s="2">
        <f t="shared" si="8"/>
        <v>162</v>
      </c>
      <c r="G46" s="2" t="s">
        <v>44</v>
      </c>
      <c r="H46" s="10">
        <v>1600</v>
      </c>
      <c r="I46" s="10">
        <f t="shared" si="6"/>
        <v>230.4</v>
      </c>
      <c r="J46" s="5">
        <v>45</v>
      </c>
      <c r="K46" s="5">
        <v>55</v>
      </c>
    </row>
    <row r="47" spans="1:11" x14ac:dyDescent="0.25">
      <c r="G47" s="2"/>
    </row>
    <row r="48" spans="1:11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9" t="s">
        <v>41</v>
      </c>
      <c r="H48" s="9" t="s">
        <v>35</v>
      </c>
      <c r="I48" s="9" t="s">
        <v>36</v>
      </c>
      <c r="J48" s="9" t="s">
        <v>38</v>
      </c>
      <c r="K48" s="9" t="s">
        <v>39</v>
      </c>
    </row>
    <row r="49" spans="1:11" x14ac:dyDescent="0.25">
      <c r="A49" s="2">
        <v>12</v>
      </c>
      <c r="B49" s="2" t="s">
        <v>10</v>
      </c>
      <c r="C49" s="2" t="s">
        <v>15</v>
      </c>
      <c r="D49" s="5" t="s">
        <v>0</v>
      </c>
      <c r="E49" s="2">
        <f>+A49*4.5</f>
        <v>54</v>
      </c>
      <c r="F49" s="2">
        <f>+A49*5.1</f>
        <v>61.199999999999996</v>
      </c>
      <c r="G49" s="2" t="s">
        <v>45</v>
      </c>
      <c r="H49" s="10">
        <v>2100</v>
      </c>
      <c r="I49" s="10">
        <f t="shared" ref="I49:I61" si="9">+E49*H49/1000</f>
        <v>113.4</v>
      </c>
      <c r="J49" s="5">
        <v>45</v>
      </c>
      <c r="K49" s="5">
        <v>55</v>
      </c>
    </row>
    <row r="50" spans="1:11" x14ac:dyDescent="0.25">
      <c r="A50" s="2">
        <v>15</v>
      </c>
      <c r="B50" s="2" t="s">
        <v>10</v>
      </c>
      <c r="C50" s="2" t="s">
        <v>15</v>
      </c>
      <c r="D50" s="5" t="s">
        <v>0</v>
      </c>
      <c r="E50" s="2">
        <f t="shared" ref="E50:E61" si="10">+A50*4.5</f>
        <v>67.5</v>
      </c>
      <c r="F50" s="2">
        <f t="shared" ref="F50:F61" si="11">+A50*5.1</f>
        <v>76.5</v>
      </c>
      <c r="G50" s="2" t="s">
        <v>45</v>
      </c>
      <c r="H50" s="10">
        <v>2100</v>
      </c>
      <c r="I50" s="10">
        <f t="shared" si="9"/>
        <v>141.75</v>
      </c>
      <c r="J50" s="5">
        <v>45</v>
      </c>
      <c r="K50" s="5">
        <v>55</v>
      </c>
    </row>
    <row r="51" spans="1:11" x14ac:dyDescent="0.25">
      <c r="A51" s="2">
        <v>17</v>
      </c>
      <c r="B51" s="2" t="s">
        <v>10</v>
      </c>
      <c r="C51" s="2" t="s">
        <v>15</v>
      </c>
      <c r="D51" s="5" t="s">
        <v>0</v>
      </c>
      <c r="E51" s="2">
        <f t="shared" si="10"/>
        <v>76.5</v>
      </c>
      <c r="F51" s="2">
        <f t="shared" si="11"/>
        <v>86.699999999999989</v>
      </c>
      <c r="G51" s="2" t="s">
        <v>45</v>
      </c>
      <c r="H51" s="10">
        <v>2100</v>
      </c>
      <c r="I51" s="10">
        <f t="shared" si="9"/>
        <v>160.65</v>
      </c>
      <c r="J51" s="5">
        <v>45</v>
      </c>
      <c r="K51" s="5">
        <v>55</v>
      </c>
    </row>
    <row r="52" spans="1:11" x14ac:dyDescent="0.25">
      <c r="A52" s="2">
        <v>19</v>
      </c>
      <c r="B52" s="2" t="s">
        <v>10</v>
      </c>
      <c r="C52" s="2" t="s">
        <v>15</v>
      </c>
      <c r="D52" s="5" t="s">
        <v>0</v>
      </c>
      <c r="E52" s="2">
        <f t="shared" si="10"/>
        <v>85.5</v>
      </c>
      <c r="F52" s="2">
        <f t="shared" si="11"/>
        <v>96.899999999999991</v>
      </c>
      <c r="G52" s="2" t="s">
        <v>45</v>
      </c>
      <c r="H52" s="10">
        <v>1700</v>
      </c>
      <c r="I52" s="10">
        <f t="shared" si="9"/>
        <v>145.35</v>
      </c>
      <c r="J52" s="5">
        <v>45</v>
      </c>
      <c r="K52" s="5">
        <v>55</v>
      </c>
    </row>
    <row r="53" spans="1:11" x14ac:dyDescent="0.25">
      <c r="A53" s="2">
        <v>20</v>
      </c>
      <c r="B53" s="2" t="s">
        <v>10</v>
      </c>
      <c r="C53" s="2" t="s">
        <v>15</v>
      </c>
      <c r="D53" s="5" t="s">
        <v>0</v>
      </c>
      <c r="E53" s="2">
        <f t="shared" si="10"/>
        <v>90</v>
      </c>
      <c r="F53" s="2">
        <f t="shared" si="11"/>
        <v>102</v>
      </c>
      <c r="G53" s="2" t="s">
        <v>45</v>
      </c>
      <c r="H53" s="10">
        <v>1700</v>
      </c>
      <c r="I53" s="10">
        <f t="shared" si="9"/>
        <v>153</v>
      </c>
      <c r="J53" s="5">
        <v>45</v>
      </c>
      <c r="K53" s="5">
        <v>55</v>
      </c>
    </row>
    <row r="54" spans="1:11" x14ac:dyDescent="0.25">
      <c r="A54" s="2">
        <v>22</v>
      </c>
      <c r="B54" s="2" t="s">
        <v>10</v>
      </c>
      <c r="C54" s="2" t="s">
        <v>15</v>
      </c>
      <c r="D54" s="5" t="s">
        <v>0</v>
      </c>
      <c r="E54" s="2">
        <f t="shared" si="10"/>
        <v>99</v>
      </c>
      <c r="F54" s="2">
        <f t="shared" si="11"/>
        <v>112.19999999999999</v>
      </c>
      <c r="G54" s="2" t="s">
        <v>45</v>
      </c>
      <c r="H54" s="10">
        <v>1700</v>
      </c>
      <c r="I54" s="10">
        <f t="shared" si="9"/>
        <v>168.3</v>
      </c>
      <c r="J54" s="5">
        <v>45</v>
      </c>
      <c r="K54" s="5">
        <v>55</v>
      </c>
    </row>
    <row r="55" spans="1:11" x14ac:dyDescent="0.25">
      <c r="A55" s="2">
        <v>24</v>
      </c>
      <c r="B55" s="2" t="s">
        <v>10</v>
      </c>
      <c r="C55" s="2" t="s">
        <v>15</v>
      </c>
      <c r="D55" s="5" t="s">
        <v>0</v>
      </c>
      <c r="E55" s="2">
        <f t="shared" si="10"/>
        <v>108</v>
      </c>
      <c r="F55" s="2">
        <f t="shared" si="11"/>
        <v>122.39999999999999</v>
      </c>
      <c r="G55" s="2" t="s">
        <v>45</v>
      </c>
      <c r="H55" s="10">
        <v>1600</v>
      </c>
      <c r="I55" s="10">
        <f t="shared" si="9"/>
        <v>172.8</v>
      </c>
      <c r="J55" s="5">
        <v>45</v>
      </c>
      <c r="K55" s="5">
        <v>55</v>
      </c>
    </row>
    <row r="56" spans="1:11" x14ac:dyDescent="0.25">
      <c r="A56" s="2">
        <v>26</v>
      </c>
      <c r="B56" s="2" t="s">
        <v>10</v>
      </c>
      <c r="C56" s="2" t="s">
        <v>15</v>
      </c>
      <c r="D56" s="5" t="s">
        <v>0</v>
      </c>
      <c r="E56" s="2">
        <f t="shared" si="10"/>
        <v>117</v>
      </c>
      <c r="F56" s="2">
        <f t="shared" si="11"/>
        <v>132.6</v>
      </c>
      <c r="G56" s="2" t="s">
        <v>45</v>
      </c>
      <c r="H56" s="10">
        <v>1600</v>
      </c>
      <c r="I56" s="10">
        <f t="shared" si="9"/>
        <v>187.2</v>
      </c>
      <c r="J56" s="5">
        <v>45</v>
      </c>
      <c r="K56" s="5">
        <v>55</v>
      </c>
    </row>
    <row r="57" spans="1:11" x14ac:dyDescent="0.25">
      <c r="A57" s="2">
        <v>28</v>
      </c>
      <c r="B57" s="2" t="s">
        <v>10</v>
      </c>
      <c r="C57" s="2" t="s">
        <v>15</v>
      </c>
      <c r="D57" s="5" t="s">
        <v>0</v>
      </c>
      <c r="E57" s="2">
        <f t="shared" si="10"/>
        <v>126</v>
      </c>
      <c r="F57" s="2">
        <f t="shared" si="11"/>
        <v>142.79999999999998</v>
      </c>
      <c r="G57" s="2" t="s">
        <v>45</v>
      </c>
      <c r="H57" s="10">
        <v>1500</v>
      </c>
      <c r="I57" s="10">
        <f t="shared" si="9"/>
        <v>189</v>
      </c>
      <c r="J57" s="5">
        <v>45</v>
      </c>
      <c r="K57" s="5">
        <v>55</v>
      </c>
    </row>
    <row r="58" spans="1:11" x14ac:dyDescent="0.25">
      <c r="A58" s="2">
        <v>30</v>
      </c>
      <c r="B58" s="2" t="s">
        <v>10</v>
      </c>
      <c r="C58" s="2" t="s">
        <v>15</v>
      </c>
      <c r="D58" s="5" t="s">
        <v>0</v>
      </c>
      <c r="E58" s="2">
        <f t="shared" si="10"/>
        <v>135</v>
      </c>
      <c r="F58" s="2">
        <f t="shared" si="11"/>
        <v>153</v>
      </c>
      <c r="G58" s="2" t="s">
        <v>45</v>
      </c>
      <c r="H58" s="10">
        <v>1500</v>
      </c>
      <c r="I58" s="10">
        <f t="shared" si="9"/>
        <v>202.5</v>
      </c>
      <c r="J58" s="5">
        <v>45</v>
      </c>
      <c r="K58" s="5">
        <v>55</v>
      </c>
    </row>
    <row r="59" spans="1:11" x14ac:dyDescent="0.25">
      <c r="A59" s="2">
        <v>32</v>
      </c>
      <c r="B59" s="2" t="s">
        <v>10</v>
      </c>
      <c r="C59" s="2" t="s">
        <v>15</v>
      </c>
      <c r="D59" s="5" t="s">
        <v>0</v>
      </c>
      <c r="E59" s="2">
        <f t="shared" si="10"/>
        <v>144</v>
      </c>
      <c r="F59" s="2">
        <f t="shared" si="11"/>
        <v>163.19999999999999</v>
      </c>
      <c r="G59" s="2" t="s">
        <v>45</v>
      </c>
      <c r="H59" s="10">
        <v>1400</v>
      </c>
      <c r="I59" s="10">
        <f t="shared" si="9"/>
        <v>201.6</v>
      </c>
      <c r="J59" s="5">
        <v>45</v>
      </c>
      <c r="K59" s="5">
        <v>55</v>
      </c>
    </row>
    <row r="60" spans="1:11" x14ac:dyDescent="0.25">
      <c r="A60" s="2">
        <v>34</v>
      </c>
      <c r="B60" s="2" t="s">
        <v>10</v>
      </c>
      <c r="C60" s="2" t="s">
        <v>15</v>
      </c>
      <c r="D60" s="5" t="s">
        <v>0</v>
      </c>
      <c r="E60" s="2">
        <f t="shared" si="10"/>
        <v>153</v>
      </c>
      <c r="F60" s="2">
        <f t="shared" si="11"/>
        <v>173.39999999999998</v>
      </c>
      <c r="G60" s="2" t="s">
        <v>45</v>
      </c>
      <c r="H60" s="10">
        <v>1400</v>
      </c>
      <c r="I60" s="10">
        <f t="shared" si="9"/>
        <v>214.2</v>
      </c>
      <c r="J60" s="5">
        <v>45</v>
      </c>
      <c r="K60" s="5">
        <v>55</v>
      </c>
    </row>
    <row r="61" spans="1:11" x14ac:dyDescent="0.25">
      <c r="A61" s="2">
        <v>36</v>
      </c>
      <c r="B61" s="2" t="s">
        <v>10</v>
      </c>
      <c r="C61" s="2" t="s">
        <v>15</v>
      </c>
      <c r="D61" s="5" t="s">
        <v>0</v>
      </c>
      <c r="E61" s="2">
        <f t="shared" si="10"/>
        <v>162</v>
      </c>
      <c r="F61" s="2">
        <f t="shared" si="11"/>
        <v>183.6</v>
      </c>
      <c r="G61" s="2" t="s">
        <v>45</v>
      </c>
      <c r="H61" s="10">
        <v>1400</v>
      </c>
      <c r="I61" s="10">
        <f t="shared" si="9"/>
        <v>226.8</v>
      </c>
      <c r="J61" s="5">
        <v>45</v>
      </c>
      <c r="K61" s="5">
        <v>55</v>
      </c>
    </row>
    <row r="62" spans="1:11" x14ac:dyDescent="0.25">
      <c r="G62" s="2"/>
    </row>
    <row r="63" spans="1:11" x14ac:dyDescent="0.25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9" t="s">
        <v>41</v>
      </c>
      <c r="H63" s="9" t="s">
        <v>35</v>
      </c>
      <c r="I63" s="9" t="s">
        <v>36</v>
      </c>
      <c r="J63" s="9" t="s">
        <v>38</v>
      </c>
      <c r="K63" s="9" t="s">
        <v>39</v>
      </c>
    </row>
    <row r="64" spans="1:11" x14ac:dyDescent="0.25">
      <c r="A64" s="2">
        <v>12</v>
      </c>
      <c r="B64" s="2" t="s">
        <v>11</v>
      </c>
      <c r="C64" s="2" t="s">
        <v>16</v>
      </c>
      <c r="D64" s="5" t="s">
        <v>0</v>
      </c>
      <c r="E64" s="2">
        <f>+A64*5</f>
        <v>60</v>
      </c>
      <c r="F64" s="2">
        <f>+A64*5.8</f>
        <v>69.599999999999994</v>
      </c>
      <c r="G64" s="2" t="s">
        <v>46</v>
      </c>
      <c r="H64" s="10">
        <v>2100</v>
      </c>
      <c r="I64" s="10">
        <f t="shared" ref="I64:I76" si="12">+E64*H64/1000</f>
        <v>126</v>
      </c>
      <c r="J64" s="5">
        <v>45</v>
      </c>
      <c r="K64" s="5">
        <v>55</v>
      </c>
    </row>
    <row r="65" spans="1:11" x14ac:dyDescent="0.25">
      <c r="A65" s="2">
        <v>15</v>
      </c>
      <c r="B65" s="2" t="s">
        <v>11</v>
      </c>
      <c r="C65" s="2" t="s">
        <v>16</v>
      </c>
      <c r="D65" s="5" t="s">
        <v>0</v>
      </c>
      <c r="E65" s="2">
        <f t="shared" ref="E65:E76" si="13">+A65*5</f>
        <v>75</v>
      </c>
      <c r="F65" s="2">
        <f t="shared" ref="F65:F76" si="14">+A65*5.8</f>
        <v>87</v>
      </c>
      <c r="G65" s="2" t="s">
        <v>46</v>
      </c>
      <c r="H65" s="10">
        <v>2100</v>
      </c>
      <c r="I65" s="10">
        <f t="shared" si="12"/>
        <v>157.5</v>
      </c>
      <c r="J65" s="5">
        <v>45</v>
      </c>
      <c r="K65" s="5">
        <v>55</v>
      </c>
    </row>
    <row r="66" spans="1:11" x14ac:dyDescent="0.25">
      <c r="A66" s="2">
        <v>17</v>
      </c>
      <c r="B66" s="2" t="s">
        <v>11</v>
      </c>
      <c r="C66" s="2" t="s">
        <v>16</v>
      </c>
      <c r="D66" s="5" t="s">
        <v>0</v>
      </c>
      <c r="E66" s="2">
        <f t="shared" si="13"/>
        <v>85</v>
      </c>
      <c r="F66" s="2">
        <f t="shared" si="14"/>
        <v>98.6</v>
      </c>
      <c r="G66" s="2" t="s">
        <v>46</v>
      </c>
      <c r="H66" s="10">
        <v>2100</v>
      </c>
      <c r="I66" s="10">
        <f t="shared" si="12"/>
        <v>178.5</v>
      </c>
      <c r="J66" s="5">
        <v>45</v>
      </c>
      <c r="K66" s="5">
        <v>55</v>
      </c>
    </row>
    <row r="67" spans="1:11" x14ac:dyDescent="0.25">
      <c r="A67" s="2">
        <v>19</v>
      </c>
      <c r="B67" s="2" t="s">
        <v>11</v>
      </c>
      <c r="C67" s="2" t="s">
        <v>16</v>
      </c>
      <c r="D67" s="5" t="s">
        <v>0</v>
      </c>
      <c r="E67" s="2">
        <f t="shared" si="13"/>
        <v>95</v>
      </c>
      <c r="F67" s="2">
        <f t="shared" si="14"/>
        <v>110.2</v>
      </c>
      <c r="G67" s="2" t="s">
        <v>46</v>
      </c>
      <c r="H67" s="10">
        <v>1700</v>
      </c>
      <c r="I67" s="10">
        <f t="shared" si="12"/>
        <v>161.5</v>
      </c>
      <c r="J67" s="5">
        <v>45</v>
      </c>
      <c r="K67" s="5">
        <v>55</v>
      </c>
    </row>
    <row r="68" spans="1:11" x14ac:dyDescent="0.25">
      <c r="A68" s="2">
        <v>20</v>
      </c>
      <c r="B68" s="2" t="s">
        <v>11</v>
      </c>
      <c r="C68" s="2" t="s">
        <v>16</v>
      </c>
      <c r="D68" s="5" t="s">
        <v>0</v>
      </c>
      <c r="E68" s="2">
        <f t="shared" si="13"/>
        <v>100</v>
      </c>
      <c r="F68" s="2">
        <f t="shared" si="14"/>
        <v>116</v>
      </c>
      <c r="G68" s="2" t="s">
        <v>46</v>
      </c>
      <c r="H68" s="10">
        <v>1700</v>
      </c>
      <c r="I68" s="10">
        <f t="shared" si="12"/>
        <v>170</v>
      </c>
      <c r="J68" s="5">
        <v>45</v>
      </c>
      <c r="K68" s="5">
        <v>55</v>
      </c>
    </row>
    <row r="69" spans="1:11" x14ac:dyDescent="0.25">
      <c r="A69" s="2">
        <v>22</v>
      </c>
      <c r="B69" s="2" t="s">
        <v>11</v>
      </c>
      <c r="C69" s="2" t="s">
        <v>16</v>
      </c>
      <c r="D69" s="5" t="s">
        <v>0</v>
      </c>
      <c r="E69" s="2">
        <f t="shared" si="13"/>
        <v>110</v>
      </c>
      <c r="F69" s="2">
        <f t="shared" si="14"/>
        <v>127.6</v>
      </c>
      <c r="G69" s="2" t="s">
        <v>46</v>
      </c>
      <c r="H69" s="10">
        <v>1700</v>
      </c>
      <c r="I69" s="10">
        <f t="shared" si="12"/>
        <v>187</v>
      </c>
      <c r="J69" s="5">
        <v>45</v>
      </c>
      <c r="K69" s="5">
        <v>55</v>
      </c>
    </row>
    <row r="70" spans="1:11" x14ac:dyDescent="0.25">
      <c r="A70" s="2">
        <v>24</v>
      </c>
      <c r="B70" s="2" t="s">
        <v>11</v>
      </c>
      <c r="C70" s="2" t="s">
        <v>16</v>
      </c>
      <c r="D70" s="5" t="s">
        <v>0</v>
      </c>
      <c r="E70" s="2">
        <f t="shared" si="13"/>
        <v>120</v>
      </c>
      <c r="F70" s="2">
        <f t="shared" si="14"/>
        <v>139.19999999999999</v>
      </c>
      <c r="G70" s="2" t="s">
        <v>46</v>
      </c>
      <c r="H70" s="10">
        <v>1600</v>
      </c>
      <c r="I70" s="10">
        <f t="shared" si="12"/>
        <v>192</v>
      </c>
      <c r="J70" s="5">
        <v>45</v>
      </c>
      <c r="K70" s="5">
        <v>55</v>
      </c>
    </row>
    <row r="71" spans="1:11" x14ac:dyDescent="0.25">
      <c r="A71" s="2">
        <v>26</v>
      </c>
      <c r="B71" s="2" t="s">
        <v>11</v>
      </c>
      <c r="C71" s="2" t="s">
        <v>16</v>
      </c>
      <c r="D71" s="5" t="s">
        <v>0</v>
      </c>
      <c r="E71" s="2">
        <f t="shared" si="13"/>
        <v>130</v>
      </c>
      <c r="F71" s="2">
        <f t="shared" si="14"/>
        <v>150.79999999999998</v>
      </c>
      <c r="G71" s="2" t="s">
        <v>46</v>
      </c>
      <c r="H71" s="10">
        <v>1600</v>
      </c>
      <c r="I71" s="10">
        <f t="shared" si="12"/>
        <v>208</v>
      </c>
      <c r="J71" s="5">
        <v>45</v>
      </c>
      <c r="K71" s="5">
        <v>55</v>
      </c>
    </row>
    <row r="72" spans="1:11" x14ac:dyDescent="0.25">
      <c r="A72" s="2">
        <v>28</v>
      </c>
      <c r="B72" s="2" t="s">
        <v>11</v>
      </c>
      <c r="C72" s="2" t="s">
        <v>16</v>
      </c>
      <c r="D72" s="5" t="s">
        <v>0</v>
      </c>
      <c r="E72" s="2">
        <f t="shared" si="13"/>
        <v>140</v>
      </c>
      <c r="F72" s="2">
        <f t="shared" si="14"/>
        <v>162.4</v>
      </c>
      <c r="G72" s="2" t="s">
        <v>46</v>
      </c>
      <c r="H72" s="10">
        <v>1500</v>
      </c>
      <c r="I72" s="10">
        <f t="shared" si="12"/>
        <v>210</v>
      </c>
      <c r="J72" s="5">
        <v>45</v>
      </c>
      <c r="K72" s="5">
        <v>55</v>
      </c>
    </row>
    <row r="73" spans="1:11" x14ac:dyDescent="0.25">
      <c r="A73" s="2">
        <v>30</v>
      </c>
      <c r="B73" s="2" t="s">
        <v>11</v>
      </c>
      <c r="C73" s="2" t="s">
        <v>16</v>
      </c>
      <c r="D73" s="5" t="s">
        <v>0</v>
      </c>
      <c r="E73" s="2">
        <f t="shared" si="13"/>
        <v>150</v>
      </c>
      <c r="F73" s="2">
        <f t="shared" si="14"/>
        <v>174</v>
      </c>
      <c r="G73" s="2" t="s">
        <v>46</v>
      </c>
      <c r="H73" s="10">
        <v>1500</v>
      </c>
      <c r="I73" s="10">
        <f t="shared" si="12"/>
        <v>225</v>
      </c>
      <c r="J73" s="5">
        <v>45</v>
      </c>
      <c r="K73" s="5">
        <v>55</v>
      </c>
    </row>
    <row r="74" spans="1:11" x14ac:dyDescent="0.25">
      <c r="A74" s="2">
        <v>32</v>
      </c>
      <c r="B74" s="2" t="s">
        <v>11</v>
      </c>
      <c r="C74" s="2" t="s">
        <v>16</v>
      </c>
      <c r="D74" s="5" t="s">
        <v>0</v>
      </c>
      <c r="E74" s="2">
        <f t="shared" si="13"/>
        <v>160</v>
      </c>
      <c r="F74" s="2">
        <f t="shared" si="14"/>
        <v>185.6</v>
      </c>
      <c r="G74" s="2" t="s">
        <v>46</v>
      </c>
      <c r="H74" s="10">
        <v>1400</v>
      </c>
      <c r="I74" s="10">
        <f t="shared" si="12"/>
        <v>224</v>
      </c>
      <c r="J74" s="5">
        <v>45</v>
      </c>
      <c r="K74" s="5">
        <v>55</v>
      </c>
    </row>
    <row r="75" spans="1:11" x14ac:dyDescent="0.25">
      <c r="A75" s="2">
        <v>34</v>
      </c>
      <c r="B75" s="2" t="s">
        <v>11</v>
      </c>
      <c r="C75" s="2" t="s">
        <v>16</v>
      </c>
      <c r="D75" s="5" t="s">
        <v>0</v>
      </c>
      <c r="E75" s="2">
        <f t="shared" si="13"/>
        <v>170</v>
      </c>
      <c r="F75" s="2">
        <f t="shared" si="14"/>
        <v>197.2</v>
      </c>
      <c r="G75" s="2" t="s">
        <v>46</v>
      </c>
      <c r="H75" s="10">
        <v>1400</v>
      </c>
      <c r="I75" s="10">
        <f t="shared" si="12"/>
        <v>238</v>
      </c>
      <c r="J75" s="5">
        <v>45</v>
      </c>
      <c r="K75" s="5">
        <v>55</v>
      </c>
    </row>
    <row r="76" spans="1:11" x14ac:dyDescent="0.25">
      <c r="A76" s="2">
        <v>36</v>
      </c>
      <c r="B76" s="2" t="s">
        <v>11</v>
      </c>
      <c r="C76" s="2" t="s">
        <v>16</v>
      </c>
      <c r="D76" s="5" t="s">
        <v>0</v>
      </c>
      <c r="E76" s="2">
        <f t="shared" si="13"/>
        <v>180</v>
      </c>
      <c r="F76" s="2">
        <f t="shared" si="14"/>
        <v>208.79999999999998</v>
      </c>
      <c r="G76" s="2" t="s">
        <v>46</v>
      </c>
      <c r="H76" s="10">
        <v>1400</v>
      </c>
      <c r="I76" s="10">
        <f t="shared" si="12"/>
        <v>252</v>
      </c>
      <c r="J76" s="5">
        <v>45</v>
      </c>
      <c r="K76" s="5">
        <v>55</v>
      </c>
    </row>
  </sheetData>
  <mergeCells count="2">
    <mergeCell ref="H1:I1"/>
    <mergeCell ref="J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3776-4675-A24C-AFFF-C02CE4484807}">
  <dimension ref="A1:K76"/>
  <sheetViews>
    <sheetView topLeftCell="B1" workbookViewId="0">
      <selection activeCell="J2" sqref="J2:K2"/>
    </sheetView>
  </sheetViews>
  <sheetFormatPr defaultColWidth="11.42578125" defaultRowHeight="15" x14ac:dyDescent="0.25"/>
  <cols>
    <col min="1" max="4" width="11.42578125" style="4"/>
    <col min="5" max="5" width="18" style="4" customWidth="1"/>
    <col min="6" max="6" width="17.140625" style="4" customWidth="1"/>
    <col min="7" max="7" width="17.140625" style="10" customWidth="1"/>
    <col min="8" max="8" width="13.28515625" style="10" customWidth="1"/>
    <col min="9" max="9" width="12.7109375" style="10" customWidth="1"/>
    <col min="10" max="11" width="13.140625" style="4" customWidth="1"/>
    <col min="12" max="16384" width="11.42578125" style="4"/>
  </cols>
  <sheetData>
    <row r="1" spans="1:11" s="10" customFormat="1" x14ac:dyDescent="0.25">
      <c r="H1" s="11" t="s">
        <v>40</v>
      </c>
      <c r="I1" s="11"/>
    </row>
    <row r="2" spans="1:11" s="5" customFormat="1" x14ac:dyDescent="0.25">
      <c r="H2" s="9" t="s">
        <v>37</v>
      </c>
      <c r="I2" s="9" t="s">
        <v>37</v>
      </c>
      <c r="J2" s="11" t="s">
        <v>47</v>
      </c>
      <c r="K2" s="11"/>
    </row>
    <row r="3" spans="1:11" s="5" customForma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9" t="s">
        <v>41</v>
      </c>
      <c r="H3" s="9" t="s">
        <v>35</v>
      </c>
      <c r="I3" s="9" t="s">
        <v>36</v>
      </c>
      <c r="J3" s="9" t="s">
        <v>38</v>
      </c>
      <c r="K3" s="9" t="s">
        <v>39</v>
      </c>
    </row>
    <row r="4" spans="1:11" x14ac:dyDescent="0.25">
      <c r="A4" s="2">
        <v>12</v>
      </c>
      <c r="B4" s="2" t="s">
        <v>7</v>
      </c>
      <c r="C4" s="2" t="s">
        <v>17</v>
      </c>
      <c r="D4" s="2" t="s">
        <v>0</v>
      </c>
      <c r="E4" s="4">
        <f>+A4*3</f>
        <v>36</v>
      </c>
      <c r="F4" s="4">
        <f>+A4*3.5</f>
        <v>42</v>
      </c>
      <c r="G4" s="10" t="s">
        <v>42</v>
      </c>
      <c r="H4" s="10">
        <v>2400</v>
      </c>
      <c r="I4" s="10">
        <f t="shared" ref="I4:I16" si="0">+E4*H4/1000</f>
        <v>86.4</v>
      </c>
      <c r="J4" s="4">
        <v>50</v>
      </c>
      <c r="K4" s="4">
        <v>50</v>
      </c>
    </row>
    <row r="5" spans="1:11" x14ac:dyDescent="0.25">
      <c r="A5" s="2">
        <v>15</v>
      </c>
      <c r="B5" s="2" t="s">
        <v>7</v>
      </c>
      <c r="C5" s="2" t="s">
        <v>17</v>
      </c>
      <c r="D5" s="2" t="s">
        <v>0</v>
      </c>
      <c r="E5" s="4">
        <f t="shared" ref="E5:E16" si="1">+A5*3</f>
        <v>45</v>
      </c>
      <c r="F5" s="4">
        <f t="shared" ref="F5:F16" si="2">+A5*3.5</f>
        <v>52.5</v>
      </c>
      <c r="G5" s="10" t="s">
        <v>42</v>
      </c>
      <c r="H5" s="10">
        <v>2400</v>
      </c>
      <c r="I5" s="10">
        <f t="shared" si="0"/>
        <v>108</v>
      </c>
      <c r="J5" s="10">
        <v>50</v>
      </c>
      <c r="K5" s="10">
        <v>50</v>
      </c>
    </row>
    <row r="6" spans="1:11" x14ac:dyDescent="0.25">
      <c r="A6" s="2">
        <v>17</v>
      </c>
      <c r="B6" s="2" t="s">
        <v>7</v>
      </c>
      <c r="C6" s="2" t="s">
        <v>17</v>
      </c>
      <c r="D6" s="2" t="s">
        <v>0</v>
      </c>
      <c r="E6" s="4">
        <f t="shared" si="1"/>
        <v>51</v>
      </c>
      <c r="F6" s="4">
        <f t="shared" si="2"/>
        <v>59.5</v>
      </c>
      <c r="G6" s="10" t="s">
        <v>42</v>
      </c>
      <c r="H6" s="10">
        <v>2400</v>
      </c>
      <c r="I6" s="10">
        <f t="shared" si="0"/>
        <v>122.4</v>
      </c>
      <c r="J6" s="10">
        <v>50</v>
      </c>
      <c r="K6" s="10">
        <v>50</v>
      </c>
    </row>
    <row r="7" spans="1:11" x14ac:dyDescent="0.25">
      <c r="A7" s="2">
        <v>19</v>
      </c>
      <c r="B7" s="2" t="s">
        <v>7</v>
      </c>
      <c r="C7" s="2" t="s">
        <v>17</v>
      </c>
      <c r="D7" s="2" t="s">
        <v>0</v>
      </c>
      <c r="E7" s="4">
        <f t="shared" si="1"/>
        <v>57</v>
      </c>
      <c r="F7" s="4">
        <f t="shared" si="2"/>
        <v>66.5</v>
      </c>
      <c r="G7" s="10" t="s">
        <v>42</v>
      </c>
      <c r="H7" s="10">
        <v>2200</v>
      </c>
      <c r="I7" s="10">
        <f t="shared" si="0"/>
        <v>125.4</v>
      </c>
      <c r="J7" s="10">
        <v>50</v>
      </c>
      <c r="K7" s="10">
        <v>50</v>
      </c>
    </row>
    <row r="8" spans="1:11" x14ac:dyDescent="0.25">
      <c r="A8" s="2">
        <v>20</v>
      </c>
      <c r="B8" s="2" t="s">
        <v>7</v>
      </c>
      <c r="C8" s="2" t="s">
        <v>17</v>
      </c>
      <c r="D8" s="2" t="s">
        <v>0</v>
      </c>
      <c r="E8" s="4">
        <f t="shared" si="1"/>
        <v>60</v>
      </c>
      <c r="F8" s="4">
        <f t="shared" si="2"/>
        <v>70</v>
      </c>
      <c r="G8" s="10" t="s">
        <v>42</v>
      </c>
      <c r="H8" s="10">
        <v>2200</v>
      </c>
      <c r="I8" s="10">
        <f t="shared" si="0"/>
        <v>132</v>
      </c>
      <c r="J8" s="10">
        <v>50</v>
      </c>
      <c r="K8" s="10">
        <v>50</v>
      </c>
    </row>
    <row r="9" spans="1:11" x14ac:dyDescent="0.25">
      <c r="A9" s="2">
        <v>22</v>
      </c>
      <c r="B9" s="2" t="s">
        <v>7</v>
      </c>
      <c r="C9" s="2" t="s">
        <v>17</v>
      </c>
      <c r="D9" s="2" t="s">
        <v>0</v>
      </c>
      <c r="E9" s="4">
        <f t="shared" si="1"/>
        <v>66</v>
      </c>
      <c r="F9" s="4">
        <f t="shared" si="2"/>
        <v>77</v>
      </c>
      <c r="G9" s="10" t="s">
        <v>42</v>
      </c>
      <c r="H9" s="10">
        <v>2200</v>
      </c>
      <c r="I9" s="10">
        <f t="shared" si="0"/>
        <v>145.19999999999999</v>
      </c>
      <c r="J9" s="10">
        <v>50</v>
      </c>
      <c r="K9" s="10">
        <v>50</v>
      </c>
    </row>
    <row r="10" spans="1:11" x14ac:dyDescent="0.25">
      <c r="A10" s="2">
        <v>24</v>
      </c>
      <c r="B10" s="2" t="s">
        <v>7</v>
      </c>
      <c r="C10" s="2" t="s">
        <v>17</v>
      </c>
      <c r="D10" s="2" t="s">
        <v>0</v>
      </c>
      <c r="E10" s="4">
        <f t="shared" si="1"/>
        <v>72</v>
      </c>
      <c r="F10" s="4">
        <f t="shared" si="2"/>
        <v>84</v>
      </c>
      <c r="G10" s="10" t="s">
        <v>42</v>
      </c>
      <c r="H10" s="10">
        <v>2100</v>
      </c>
      <c r="I10" s="10">
        <f t="shared" si="0"/>
        <v>151.19999999999999</v>
      </c>
      <c r="J10" s="10">
        <v>50</v>
      </c>
      <c r="K10" s="10">
        <v>50</v>
      </c>
    </row>
    <row r="11" spans="1:11" x14ac:dyDescent="0.25">
      <c r="A11" s="2">
        <v>26</v>
      </c>
      <c r="B11" s="2" t="s">
        <v>7</v>
      </c>
      <c r="C11" s="2" t="s">
        <v>17</v>
      </c>
      <c r="D11" s="2" t="s">
        <v>0</v>
      </c>
      <c r="E11" s="4">
        <f t="shared" si="1"/>
        <v>78</v>
      </c>
      <c r="F11" s="4">
        <f t="shared" si="2"/>
        <v>91</v>
      </c>
      <c r="G11" s="10" t="s">
        <v>42</v>
      </c>
      <c r="H11" s="10">
        <v>2000</v>
      </c>
      <c r="I11" s="10">
        <f t="shared" si="0"/>
        <v>156</v>
      </c>
      <c r="J11" s="10">
        <v>50</v>
      </c>
      <c r="K11" s="10">
        <v>50</v>
      </c>
    </row>
    <row r="12" spans="1:11" x14ac:dyDescent="0.25">
      <c r="A12" s="2">
        <v>28</v>
      </c>
      <c r="B12" s="2" t="s">
        <v>7</v>
      </c>
      <c r="C12" s="2" t="s">
        <v>17</v>
      </c>
      <c r="D12" s="2" t="s">
        <v>0</v>
      </c>
      <c r="E12" s="4">
        <f t="shared" si="1"/>
        <v>84</v>
      </c>
      <c r="F12" s="4">
        <f t="shared" si="2"/>
        <v>98</v>
      </c>
      <c r="G12" s="10" t="s">
        <v>42</v>
      </c>
      <c r="H12" s="10">
        <v>1900</v>
      </c>
      <c r="I12" s="10">
        <f t="shared" si="0"/>
        <v>159.6</v>
      </c>
      <c r="J12" s="10">
        <v>50</v>
      </c>
      <c r="K12" s="10">
        <v>50</v>
      </c>
    </row>
    <row r="13" spans="1:11" x14ac:dyDescent="0.25">
      <c r="A13" s="2">
        <v>30</v>
      </c>
      <c r="B13" s="2" t="s">
        <v>7</v>
      </c>
      <c r="C13" s="2" t="s">
        <v>17</v>
      </c>
      <c r="D13" s="2" t="s">
        <v>0</v>
      </c>
      <c r="E13" s="4">
        <f t="shared" si="1"/>
        <v>90</v>
      </c>
      <c r="F13" s="4">
        <f t="shared" si="2"/>
        <v>105</v>
      </c>
      <c r="G13" s="10" t="s">
        <v>42</v>
      </c>
      <c r="H13" s="10">
        <v>1800</v>
      </c>
      <c r="I13" s="10">
        <f t="shared" si="0"/>
        <v>162</v>
      </c>
      <c r="J13" s="10">
        <v>50</v>
      </c>
      <c r="K13" s="10">
        <v>50</v>
      </c>
    </row>
    <row r="14" spans="1:11" x14ac:dyDescent="0.25">
      <c r="A14" s="2">
        <v>32</v>
      </c>
      <c r="B14" s="2" t="s">
        <v>7</v>
      </c>
      <c r="C14" s="2" t="s">
        <v>17</v>
      </c>
      <c r="D14" s="2" t="s">
        <v>0</v>
      </c>
      <c r="E14" s="4">
        <f t="shared" si="1"/>
        <v>96</v>
      </c>
      <c r="F14" s="4">
        <f t="shared" si="2"/>
        <v>112</v>
      </c>
      <c r="G14" s="10" t="s">
        <v>42</v>
      </c>
      <c r="H14" s="10">
        <v>1750</v>
      </c>
      <c r="I14" s="10">
        <f t="shared" si="0"/>
        <v>168</v>
      </c>
      <c r="J14" s="10">
        <v>50</v>
      </c>
      <c r="K14" s="10">
        <v>50</v>
      </c>
    </row>
    <row r="15" spans="1:11" x14ac:dyDescent="0.25">
      <c r="A15" s="2">
        <v>34</v>
      </c>
      <c r="B15" s="2" t="s">
        <v>7</v>
      </c>
      <c r="C15" s="2" t="s">
        <v>17</v>
      </c>
      <c r="D15" s="2" t="s">
        <v>0</v>
      </c>
      <c r="E15" s="4">
        <f t="shared" si="1"/>
        <v>102</v>
      </c>
      <c r="F15" s="4">
        <f t="shared" si="2"/>
        <v>119</v>
      </c>
      <c r="G15" s="10" t="s">
        <v>42</v>
      </c>
      <c r="H15" s="10">
        <v>1650</v>
      </c>
      <c r="I15" s="10">
        <f t="shared" si="0"/>
        <v>168.3</v>
      </c>
      <c r="J15" s="10">
        <v>50</v>
      </c>
      <c r="K15" s="10">
        <v>50</v>
      </c>
    </row>
    <row r="16" spans="1:11" x14ac:dyDescent="0.25">
      <c r="A16" s="2">
        <v>36</v>
      </c>
      <c r="B16" s="2" t="s">
        <v>7</v>
      </c>
      <c r="C16" s="2" t="s">
        <v>17</v>
      </c>
      <c r="D16" s="2" t="s">
        <v>0</v>
      </c>
      <c r="E16" s="4">
        <f t="shared" si="1"/>
        <v>108</v>
      </c>
      <c r="F16" s="4">
        <f t="shared" si="2"/>
        <v>126</v>
      </c>
      <c r="G16" s="10" t="s">
        <v>42</v>
      </c>
      <c r="H16" s="10">
        <v>1600</v>
      </c>
      <c r="I16" s="10">
        <f t="shared" si="0"/>
        <v>172.8</v>
      </c>
      <c r="J16" s="10">
        <v>50</v>
      </c>
      <c r="K16" s="10">
        <v>50</v>
      </c>
    </row>
    <row r="17" spans="1:11" x14ac:dyDescent="0.25">
      <c r="A17" s="2"/>
      <c r="B17" s="2"/>
      <c r="C17" s="2"/>
      <c r="D17" s="2"/>
      <c r="E17" s="2"/>
      <c r="F17" s="2"/>
      <c r="G17" s="2"/>
    </row>
    <row r="18" spans="1:11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9" t="s">
        <v>41</v>
      </c>
      <c r="H18" s="9" t="s">
        <v>35</v>
      </c>
      <c r="I18" s="9" t="s">
        <v>36</v>
      </c>
      <c r="J18" s="9" t="s">
        <v>38</v>
      </c>
      <c r="K18" s="9" t="s">
        <v>39</v>
      </c>
    </row>
    <row r="19" spans="1:11" x14ac:dyDescent="0.25">
      <c r="A19" s="2">
        <v>12</v>
      </c>
      <c r="B19" s="2" t="s">
        <v>8</v>
      </c>
      <c r="C19" s="2" t="s">
        <v>18</v>
      </c>
      <c r="D19" s="2" t="s">
        <v>0</v>
      </c>
      <c r="E19" s="4">
        <f>+A19*3.5</f>
        <v>42</v>
      </c>
      <c r="F19" s="4">
        <f>+A19*4</f>
        <v>48</v>
      </c>
      <c r="G19" s="10" t="s">
        <v>43</v>
      </c>
      <c r="H19" s="10">
        <v>2400</v>
      </c>
      <c r="I19" s="10">
        <f t="shared" ref="I19:I31" si="3">+E19*H19/1000</f>
        <v>100.8</v>
      </c>
      <c r="J19" s="10">
        <v>50</v>
      </c>
      <c r="K19" s="10">
        <v>50</v>
      </c>
    </row>
    <row r="20" spans="1:11" x14ac:dyDescent="0.25">
      <c r="A20" s="2">
        <v>15</v>
      </c>
      <c r="B20" s="2" t="s">
        <v>8</v>
      </c>
      <c r="C20" s="2" t="s">
        <v>18</v>
      </c>
      <c r="D20" s="2" t="s">
        <v>0</v>
      </c>
      <c r="E20" s="4">
        <f t="shared" ref="E20:E31" si="4">+A20*3.5</f>
        <v>52.5</v>
      </c>
      <c r="F20" s="4">
        <f t="shared" ref="F20:F31" si="5">+A20*4</f>
        <v>60</v>
      </c>
      <c r="G20" s="10" t="s">
        <v>43</v>
      </c>
      <c r="H20" s="10">
        <v>2400</v>
      </c>
      <c r="I20" s="10">
        <f t="shared" si="3"/>
        <v>126</v>
      </c>
      <c r="J20" s="10">
        <v>50</v>
      </c>
      <c r="K20" s="10">
        <v>50</v>
      </c>
    </row>
    <row r="21" spans="1:11" x14ac:dyDescent="0.25">
      <c r="A21" s="2">
        <v>17</v>
      </c>
      <c r="B21" s="2" t="s">
        <v>8</v>
      </c>
      <c r="C21" s="2" t="s">
        <v>18</v>
      </c>
      <c r="D21" s="2" t="s">
        <v>0</v>
      </c>
      <c r="E21" s="4">
        <f t="shared" si="4"/>
        <v>59.5</v>
      </c>
      <c r="F21" s="4">
        <f t="shared" si="5"/>
        <v>68</v>
      </c>
      <c r="G21" s="10" t="s">
        <v>43</v>
      </c>
      <c r="H21" s="10">
        <v>2400</v>
      </c>
      <c r="I21" s="10">
        <f t="shared" si="3"/>
        <v>142.80000000000001</v>
      </c>
      <c r="J21" s="10">
        <v>50</v>
      </c>
      <c r="K21" s="10">
        <v>50</v>
      </c>
    </row>
    <row r="22" spans="1:11" x14ac:dyDescent="0.25">
      <c r="A22" s="2">
        <v>19</v>
      </c>
      <c r="B22" s="2" t="s">
        <v>8</v>
      </c>
      <c r="C22" s="2" t="s">
        <v>18</v>
      </c>
      <c r="D22" s="2" t="s">
        <v>0</v>
      </c>
      <c r="E22" s="4">
        <f t="shared" si="4"/>
        <v>66.5</v>
      </c>
      <c r="F22" s="4">
        <f t="shared" si="5"/>
        <v>76</v>
      </c>
      <c r="G22" s="10" t="s">
        <v>43</v>
      </c>
      <c r="H22" s="10">
        <v>2200</v>
      </c>
      <c r="I22" s="10">
        <f t="shared" si="3"/>
        <v>146.30000000000001</v>
      </c>
      <c r="J22" s="10">
        <v>50</v>
      </c>
      <c r="K22" s="10">
        <v>50</v>
      </c>
    </row>
    <row r="23" spans="1:11" x14ac:dyDescent="0.25">
      <c r="A23" s="2">
        <v>20</v>
      </c>
      <c r="B23" s="2" t="s">
        <v>8</v>
      </c>
      <c r="C23" s="2" t="s">
        <v>18</v>
      </c>
      <c r="D23" s="2" t="s">
        <v>0</v>
      </c>
      <c r="E23" s="4">
        <f t="shared" si="4"/>
        <v>70</v>
      </c>
      <c r="F23" s="4">
        <f t="shared" si="5"/>
        <v>80</v>
      </c>
      <c r="G23" s="10" t="s">
        <v>43</v>
      </c>
      <c r="H23" s="10">
        <v>2200</v>
      </c>
      <c r="I23" s="10">
        <f t="shared" si="3"/>
        <v>154</v>
      </c>
      <c r="J23" s="10">
        <v>50</v>
      </c>
      <c r="K23" s="10">
        <v>50</v>
      </c>
    </row>
    <row r="24" spans="1:11" x14ac:dyDescent="0.25">
      <c r="A24" s="2">
        <v>22</v>
      </c>
      <c r="B24" s="2" t="s">
        <v>8</v>
      </c>
      <c r="C24" s="2" t="s">
        <v>18</v>
      </c>
      <c r="D24" s="2" t="s">
        <v>0</v>
      </c>
      <c r="E24" s="4">
        <f t="shared" si="4"/>
        <v>77</v>
      </c>
      <c r="F24" s="4">
        <f t="shared" si="5"/>
        <v>88</v>
      </c>
      <c r="G24" s="10" t="s">
        <v>43</v>
      </c>
      <c r="H24" s="10">
        <v>2200</v>
      </c>
      <c r="I24" s="10">
        <f t="shared" si="3"/>
        <v>169.4</v>
      </c>
      <c r="J24" s="10">
        <v>50</v>
      </c>
      <c r="K24" s="10">
        <v>50</v>
      </c>
    </row>
    <row r="25" spans="1:11" x14ac:dyDescent="0.25">
      <c r="A25" s="2">
        <v>24</v>
      </c>
      <c r="B25" s="2" t="s">
        <v>8</v>
      </c>
      <c r="C25" s="2" t="s">
        <v>18</v>
      </c>
      <c r="D25" s="2" t="s">
        <v>0</v>
      </c>
      <c r="E25" s="4">
        <f t="shared" si="4"/>
        <v>84</v>
      </c>
      <c r="F25" s="4">
        <f t="shared" si="5"/>
        <v>96</v>
      </c>
      <c r="G25" s="10" t="s">
        <v>43</v>
      </c>
      <c r="H25" s="10">
        <v>2100</v>
      </c>
      <c r="I25" s="10">
        <f t="shared" si="3"/>
        <v>176.4</v>
      </c>
      <c r="J25" s="10">
        <v>50</v>
      </c>
      <c r="K25" s="10">
        <v>50</v>
      </c>
    </row>
    <row r="26" spans="1:11" x14ac:dyDescent="0.25">
      <c r="A26" s="2">
        <v>26</v>
      </c>
      <c r="B26" s="2" t="s">
        <v>8</v>
      </c>
      <c r="C26" s="2" t="s">
        <v>18</v>
      </c>
      <c r="D26" s="2" t="s">
        <v>0</v>
      </c>
      <c r="E26" s="4">
        <f t="shared" si="4"/>
        <v>91</v>
      </c>
      <c r="F26" s="4">
        <f t="shared" si="5"/>
        <v>104</v>
      </c>
      <c r="G26" s="10" t="s">
        <v>43</v>
      </c>
      <c r="H26" s="10">
        <v>2000</v>
      </c>
      <c r="I26" s="10">
        <f t="shared" si="3"/>
        <v>182</v>
      </c>
      <c r="J26" s="10">
        <v>50</v>
      </c>
      <c r="K26" s="10">
        <v>50</v>
      </c>
    </row>
    <row r="27" spans="1:11" x14ac:dyDescent="0.25">
      <c r="A27" s="2">
        <v>28</v>
      </c>
      <c r="B27" s="2" t="s">
        <v>8</v>
      </c>
      <c r="C27" s="2" t="s">
        <v>18</v>
      </c>
      <c r="D27" s="2" t="s">
        <v>0</v>
      </c>
      <c r="E27" s="4">
        <f t="shared" si="4"/>
        <v>98</v>
      </c>
      <c r="F27" s="4">
        <f t="shared" si="5"/>
        <v>112</v>
      </c>
      <c r="G27" s="10" t="s">
        <v>43</v>
      </c>
      <c r="H27" s="10">
        <v>1900</v>
      </c>
      <c r="I27" s="10">
        <f t="shared" si="3"/>
        <v>186.2</v>
      </c>
      <c r="J27" s="10">
        <v>50</v>
      </c>
      <c r="K27" s="10">
        <v>50</v>
      </c>
    </row>
    <row r="28" spans="1:11" x14ac:dyDescent="0.25">
      <c r="A28" s="2">
        <v>30</v>
      </c>
      <c r="B28" s="2" t="s">
        <v>8</v>
      </c>
      <c r="C28" s="2" t="s">
        <v>18</v>
      </c>
      <c r="D28" s="2" t="s">
        <v>0</v>
      </c>
      <c r="E28" s="4">
        <f t="shared" si="4"/>
        <v>105</v>
      </c>
      <c r="F28" s="4">
        <f t="shared" si="5"/>
        <v>120</v>
      </c>
      <c r="G28" s="10" t="s">
        <v>43</v>
      </c>
      <c r="H28" s="10">
        <v>1800</v>
      </c>
      <c r="I28" s="10">
        <f t="shared" si="3"/>
        <v>189</v>
      </c>
      <c r="J28" s="10">
        <v>50</v>
      </c>
      <c r="K28" s="10">
        <v>50</v>
      </c>
    </row>
    <row r="29" spans="1:11" x14ac:dyDescent="0.25">
      <c r="A29" s="2">
        <v>32</v>
      </c>
      <c r="B29" s="2" t="s">
        <v>8</v>
      </c>
      <c r="C29" s="2" t="s">
        <v>18</v>
      </c>
      <c r="D29" s="2" t="s">
        <v>0</v>
      </c>
      <c r="E29" s="4">
        <f t="shared" si="4"/>
        <v>112</v>
      </c>
      <c r="F29" s="4">
        <f t="shared" si="5"/>
        <v>128</v>
      </c>
      <c r="G29" s="10" t="s">
        <v>43</v>
      </c>
      <c r="H29" s="10">
        <v>1750</v>
      </c>
      <c r="I29" s="10">
        <f t="shared" si="3"/>
        <v>196</v>
      </c>
      <c r="J29" s="10">
        <v>50</v>
      </c>
      <c r="K29" s="10">
        <v>50</v>
      </c>
    </row>
    <row r="30" spans="1:11" x14ac:dyDescent="0.25">
      <c r="A30" s="2">
        <v>34</v>
      </c>
      <c r="B30" s="2" t="s">
        <v>8</v>
      </c>
      <c r="C30" s="2" t="s">
        <v>18</v>
      </c>
      <c r="D30" s="2" t="s">
        <v>0</v>
      </c>
      <c r="E30" s="4">
        <f t="shared" si="4"/>
        <v>119</v>
      </c>
      <c r="F30" s="4">
        <f t="shared" si="5"/>
        <v>136</v>
      </c>
      <c r="G30" s="10" t="s">
        <v>43</v>
      </c>
      <c r="H30" s="10">
        <v>1650</v>
      </c>
      <c r="I30" s="10">
        <f t="shared" si="3"/>
        <v>196.35</v>
      </c>
      <c r="J30" s="10">
        <v>50</v>
      </c>
      <c r="K30" s="10">
        <v>50</v>
      </c>
    </row>
    <row r="31" spans="1:11" x14ac:dyDescent="0.25">
      <c r="A31" s="2">
        <v>36</v>
      </c>
      <c r="B31" s="2" t="s">
        <v>8</v>
      </c>
      <c r="C31" s="2" t="s">
        <v>18</v>
      </c>
      <c r="D31" s="2" t="s">
        <v>0</v>
      </c>
      <c r="E31" s="4">
        <f t="shared" si="4"/>
        <v>126</v>
      </c>
      <c r="F31" s="4">
        <f t="shared" si="5"/>
        <v>144</v>
      </c>
      <c r="G31" s="10" t="s">
        <v>43</v>
      </c>
      <c r="H31" s="10">
        <v>1600</v>
      </c>
      <c r="I31" s="10">
        <f t="shared" si="3"/>
        <v>201.6</v>
      </c>
      <c r="J31" s="10">
        <v>50</v>
      </c>
      <c r="K31" s="10">
        <v>50</v>
      </c>
    </row>
    <row r="32" spans="1:11" x14ac:dyDescent="0.25">
      <c r="A32" s="2"/>
      <c r="B32" s="2"/>
      <c r="C32" s="2"/>
      <c r="D32" s="2"/>
      <c r="E32" s="2"/>
      <c r="F32" s="2"/>
      <c r="G32" s="2"/>
    </row>
    <row r="33" spans="1:11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9" t="s">
        <v>41</v>
      </c>
      <c r="H33" s="9" t="s">
        <v>35</v>
      </c>
      <c r="I33" s="9" t="s">
        <v>36</v>
      </c>
      <c r="J33" s="9" t="s">
        <v>38</v>
      </c>
      <c r="K33" s="9" t="s">
        <v>39</v>
      </c>
    </row>
    <row r="34" spans="1:11" x14ac:dyDescent="0.25">
      <c r="A34" s="2">
        <v>12</v>
      </c>
      <c r="B34" s="2" t="s">
        <v>9</v>
      </c>
      <c r="C34" s="2" t="s">
        <v>15</v>
      </c>
      <c r="D34" s="2" t="s">
        <v>0</v>
      </c>
      <c r="E34" s="2">
        <f>+A34*4</f>
        <v>48</v>
      </c>
      <c r="F34" s="2">
        <f>+A34*4.5</f>
        <v>54</v>
      </c>
      <c r="G34" s="2" t="s">
        <v>44</v>
      </c>
      <c r="H34" s="10">
        <v>2400</v>
      </c>
      <c r="I34" s="10">
        <f t="shared" ref="I34:I46" si="6">+E34*H34/1000</f>
        <v>115.2</v>
      </c>
      <c r="J34" s="10">
        <v>50</v>
      </c>
      <c r="K34" s="10">
        <v>50</v>
      </c>
    </row>
    <row r="35" spans="1:11" x14ac:dyDescent="0.25">
      <c r="A35" s="2">
        <v>15</v>
      </c>
      <c r="B35" s="2" t="s">
        <v>9</v>
      </c>
      <c r="C35" s="2" t="s">
        <v>15</v>
      </c>
      <c r="D35" s="2" t="s">
        <v>0</v>
      </c>
      <c r="E35" s="2">
        <f t="shared" ref="E35:E46" si="7">+A35*4</f>
        <v>60</v>
      </c>
      <c r="F35" s="2">
        <f t="shared" ref="F35:F46" si="8">+A35*4.5</f>
        <v>67.5</v>
      </c>
      <c r="G35" s="2" t="s">
        <v>44</v>
      </c>
      <c r="H35" s="10">
        <v>2400</v>
      </c>
      <c r="I35" s="10">
        <f t="shared" si="6"/>
        <v>144</v>
      </c>
      <c r="J35" s="10">
        <v>50</v>
      </c>
      <c r="K35" s="10">
        <v>50</v>
      </c>
    </row>
    <row r="36" spans="1:11" x14ac:dyDescent="0.25">
      <c r="A36" s="2">
        <v>17</v>
      </c>
      <c r="B36" s="2" t="s">
        <v>9</v>
      </c>
      <c r="C36" s="2" t="s">
        <v>15</v>
      </c>
      <c r="D36" s="2" t="s">
        <v>0</v>
      </c>
      <c r="E36" s="2">
        <f t="shared" si="7"/>
        <v>68</v>
      </c>
      <c r="F36" s="2">
        <f t="shared" si="8"/>
        <v>76.5</v>
      </c>
      <c r="G36" s="2" t="s">
        <v>44</v>
      </c>
      <c r="H36" s="10">
        <v>2400</v>
      </c>
      <c r="I36" s="10">
        <f t="shared" si="6"/>
        <v>163.19999999999999</v>
      </c>
      <c r="J36" s="10">
        <v>50</v>
      </c>
      <c r="K36" s="10">
        <v>50</v>
      </c>
    </row>
    <row r="37" spans="1:11" x14ac:dyDescent="0.25">
      <c r="A37" s="2">
        <v>19</v>
      </c>
      <c r="B37" s="2" t="s">
        <v>9</v>
      </c>
      <c r="C37" s="2" t="s">
        <v>15</v>
      </c>
      <c r="D37" s="2" t="s">
        <v>0</v>
      </c>
      <c r="E37" s="2">
        <f t="shared" si="7"/>
        <v>76</v>
      </c>
      <c r="F37" s="2">
        <f t="shared" si="8"/>
        <v>85.5</v>
      </c>
      <c r="G37" s="2" t="s">
        <v>44</v>
      </c>
      <c r="H37" s="10">
        <v>2200</v>
      </c>
      <c r="I37" s="10">
        <f t="shared" si="6"/>
        <v>167.2</v>
      </c>
      <c r="J37" s="10">
        <v>50</v>
      </c>
      <c r="K37" s="10">
        <v>50</v>
      </c>
    </row>
    <row r="38" spans="1:11" x14ac:dyDescent="0.25">
      <c r="A38" s="2">
        <v>20</v>
      </c>
      <c r="B38" s="2" t="s">
        <v>9</v>
      </c>
      <c r="C38" s="2" t="s">
        <v>15</v>
      </c>
      <c r="D38" s="2" t="s">
        <v>0</v>
      </c>
      <c r="E38" s="2">
        <f t="shared" si="7"/>
        <v>80</v>
      </c>
      <c r="F38" s="2">
        <f t="shared" si="8"/>
        <v>90</v>
      </c>
      <c r="G38" s="2" t="s">
        <v>44</v>
      </c>
      <c r="H38" s="10">
        <v>2200</v>
      </c>
      <c r="I38" s="10">
        <f t="shared" si="6"/>
        <v>176</v>
      </c>
      <c r="J38" s="10">
        <v>50</v>
      </c>
      <c r="K38" s="10">
        <v>50</v>
      </c>
    </row>
    <row r="39" spans="1:11" x14ac:dyDescent="0.25">
      <c r="A39" s="2">
        <v>22</v>
      </c>
      <c r="B39" s="2" t="s">
        <v>9</v>
      </c>
      <c r="C39" s="2" t="s">
        <v>15</v>
      </c>
      <c r="D39" s="2" t="s">
        <v>0</v>
      </c>
      <c r="E39" s="2">
        <f t="shared" si="7"/>
        <v>88</v>
      </c>
      <c r="F39" s="2">
        <f t="shared" si="8"/>
        <v>99</v>
      </c>
      <c r="G39" s="2" t="s">
        <v>44</v>
      </c>
      <c r="H39" s="10">
        <v>2200</v>
      </c>
      <c r="I39" s="10">
        <f t="shared" si="6"/>
        <v>193.6</v>
      </c>
      <c r="J39" s="10">
        <v>50</v>
      </c>
      <c r="K39" s="10">
        <v>50</v>
      </c>
    </row>
    <row r="40" spans="1:11" x14ac:dyDescent="0.25">
      <c r="A40" s="2">
        <v>24</v>
      </c>
      <c r="B40" s="2" t="s">
        <v>9</v>
      </c>
      <c r="C40" s="2" t="s">
        <v>15</v>
      </c>
      <c r="D40" s="2" t="s">
        <v>0</v>
      </c>
      <c r="E40" s="2">
        <f t="shared" si="7"/>
        <v>96</v>
      </c>
      <c r="F40" s="2">
        <f t="shared" si="8"/>
        <v>108</v>
      </c>
      <c r="G40" s="2" t="s">
        <v>44</v>
      </c>
      <c r="H40" s="10">
        <v>2100</v>
      </c>
      <c r="I40" s="10">
        <f t="shared" si="6"/>
        <v>201.6</v>
      </c>
      <c r="J40" s="10">
        <v>50</v>
      </c>
      <c r="K40" s="10">
        <v>50</v>
      </c>
    </row>
    <row r="41" spans="1:11" x14ac:dyDescent="0.25">
      <c r="A41" s="2">
        <v>26</v>
      </c>
      <c r="B41" s="2" t="s">
        <v>9</v>
      </c>
      <c r="C41" s="2" t="s">
        <v>15</v>
      </c>
      <c r="D41" s="2" t="s">
        <v>0</v>
      </c>
      <c r="E41" s="2">
        <f t="shared" si="7"/>
        <v>104</v>
      </c>
      <c r="F41" s="2">
        <f t="shared" si="8"/>
        <v>117</v>
      </c>
      <c r="G41" s="2" t="s">
        <v>44</v>
      </c>
      <c r="H41" s="10">
        <v>2000</v>
      </c>
      <c r="I41" s="10">
        <f t="shared" si="6"/>
        <v>208</v>
      </c>
      <c r="J41" s="10">
        <v>50</v>
      </c>
      <c r="K41" s="10">
        <v>50</v>
      </c>
    </row>
    <row r="42" spans="1:11" x14ac:dyDescent="0.25">
      <c r="A42" s="2">
        <v>28</v>
      </c>
      <c r="B42" s="2" t="s">
        <v>9</v>
      </c>
      <c r="C42" s="2" t="s">
        <v>15</v>
      </c>
      <c r="D42" s="2" t="s">
        <v>0</v>
      </c>
      <c r="E42" s="2">
        <f t="shared" si="7"/>
        <v>112</v>
      </c>
      <c r="F42" s="2">
        <f t="shared" si="8"/>
        <v>126</v>
      </c>
      <c r="G42" s="2" t="s">
        <v>44</v>
      </c>
      <c r="H42" s="10">
        <v>1900</v>
      </c>
      <c r="I42" s="10">
        <f t="shared" si="6"/>
        <v>212.8</v>
      </c>
      <c r="J42" s="10">
        <v>50</v>
      </c>
      <c r="K42" s="10">
        <v>50</v>
      </c>
    </row>
    <row r="43" spans="1:11" x14ac:dyDescent="0.25">
      <c r="A43" s="2">
        <v>30</v>
      </c>
      <c r="B43" s="2" t="s">
        <v>9</v>
      </c>
      <c r="C43" s="2" t="s">
        <v>15</v>
      </c>
      <c r="D43" s="2" t="s">
        <v>0</v>
      </c>
      <c r="E43" s="2">
        <f t="shared" si="7"/>
        <v>120</v>
      </c>
      <c r="F43" s="2">
        <f t="shared" si="8"/>
        <v>135</v>
      </c>
      <c r="G43" s="2" t="s">
        <v>44</v>
      </c>
      <c r="H43" s="10">
        <v>1800</v>
      </c>
      <c r="I43" s="10">
        <f t="shared" si="6"/>
        <v>216</v>
      </c>
      <c r="J43" s="10">
        <v>50</v>
      </c>
      <c r="K43" s="10">
        <v>50</v>
      </c>
    </row>
    <row r="44" spans="1:11" x14ac:dyDescent="0.25">
      <c r="A44" s="2">
        <v>32</v>
      </c>
      <c r="B44" s="2" t="s">
        <v>9</v>
      </c>
      <c r="C44" s="2" t="s">
        <v>15</v>
      </c>
      <c r="D44" s="2" t="s">
        <v>0</v>
      </c>
      <c r="E44" s="2">
        <f t="shared" si="7"/>
        <v>128</v>
      </c>
      <c r="F44" s="2">
        <f t="shared" si="8"/>
        <v>144</v>
      </c>
      <c r="G44" s="2" t="s">
        <v>44</v>
      </c>
      <c r="H44" s="10">
        <v>1750</v>
      </c>
      <c r="I44" s="10">
        <f t="shared" si="6"/>
        <v>224</v>
      </c>
      <c r="J44" s="10">
        <v>50</v>
      </c>
      <c r="K44" s="10">
        <v>50</v>
      </c>
    </row>
    <row r="45" spans="1:11" x14ac:dyDescent="0.25">
      <c r="A45" s="2">
        <v>34</v>
      </c>
      <c r="B45" s="2" t="s">
        <v>9</v>
      </c>
      <c r="C45" s="2" t="s">
        <v>15</v>
      </c>
      <c r="D45" s="2" t="s">
        <v>0</v>
      </c>
      <c r="E45" s="2">
        <f t="shared" si="7"/>
        <v>136</v>
      </c>
      <c r="F45" s="2">
        <f t="shared" si="8"/>
        <v>153</v>
      </c>
      <c r="G45" s="2" t="s">
        <v>44</v>
      </c>
      <c r="H45" s="10">
        <v>1650</v>
      </c>
      <c r="I45" s="10">
        <f t="shared" si="6"/>
        <v>224.4</v>
      </c>
      <c r="J45" s="10">
        <v>50</v>
      </c>
      <c r="K45" s="10">
        <v>50</v>
      </c>
    </row>
    <row r="46" spans="1:11" x14ac:dyDescent="0.25">
      <c r="A46" s="2">
        <v>36</v>
      </c>
      <c r="B46" s="2" t="s">
        <v>9</v>
      </c>
      <c r="C46" s="2" t="s">
        <v>15</v>
      </c>
      <c r="D46" s="2" t="s">
        <v>0</v>
      </c>
      <c r="E46" s="2">
        <f t="shared" si="7"/>
        <v>144</v>
      </c>
      <c r="F46" s="2">
        <f t="shared" si="8"/>
        <v>162</v>
      </c>
      <c r="G46" s="2" t="s">
        <v>44</v>
      </c>
      <c r="H46" s="10">
        <v>1600</v>
      </c>
      <c r="I46" s="10">
        <f t="shared" si="6"/>
        <v>230.4</v>
      </c>
      <c r="J46" s="10">
        <v>50</v>
      </c>
      <c r="K46" s="10">
        <v>50</v>
      </c>
    </row>
    <row r="47" spans="1:11" x14ac:dyDescent="0.25">
      <c r="A47" s="2"/>
      <c r="B47" s="2"/>
      <c r="C47" s="2"/>
      <c r="D47" s="2"/>
      <c r="E47" s="2"/>
      <c r="F47" s="2"/>
      <c r="G47" s="2"/>
    </row>
    <row r="48" spans="1:11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9" t="s">
        <v>41</v>
      </c>
      <c r="H48" s="9" t="s">
        <v>35</v>
      </c>
      <c r="I48" s="9" t="s">
        <v>36</v>
      </c>
      <c r="J48" s="9" t="s">
        <v>38</v>
      </c>
      <c r="K48" s="9" t="s">
        <v>39</v>
      </c>
    </row>
    <row r="49" spans="1:11" x14ac:dyDescent="0.25">
      <c r="A49" s="2">
        <v>12</v>
      </c>
      <c r="B49" s="2" t="s">
        <v>10</v>
      </c>
      <c r="C49" s="2" t="s">
        <v>16</v>
      </c>
      <c r="D49" s="2" t="s">
        <v>0</v>
      </c>
      <c r="E49" s="2">
        <f>+A49*4.5</f>
        <v>54</v>
      </c>
      <c r="F49" s="2">
        <f>+A49*5.1</f>
        <v>61.199999999999996</v>
      </c>
      <c r="G49" s="2" t="s">
        <v>45</v>
      </c>
      <c r="H49" s="10">
        <v>2100</v>
      </c>
      <c r="I49" s="10">
        <f t="shared" ref="I49:I61" si="9">+E49*H49/1000</f>
        <v>113.4</v>
      </c>
      <c r="J49" s="10">
        <v>50</v>
      </c>
      <c r="K49" s="10">
        <v>50</v>
      </c>
    </row>
    <row r="50" spans="1:11" x14ac:dyDescent="0.25">
      <c r="A50" s="2">
        <v>15</v>
      </c>
      <c r="B50" s="2" t="s">
        <v>10</v>
      </c>
      <c r="C50" s="2" t="s">
        <v>16</v>
      </c>
      <c r="D50" s="2" t="s">
        <v>0</v>
      </c>
      <c r="E50" s="2">
        <f t="shared" ref="E50:E61" si="10">+A50*4.5</f>
        <v>67.5</v>
      </c>
      <c r="F50" s="2">
        <f t="shared" ref="F50:F61" si="11">+A50*5.1</f>
        <v>76.5</v>
      </c>
      <c r="G50" s="2" t="s">
        <v>45</v>
      </c>
      <c r="H50" s="10">
        <v>2100</v>
      </c>
      <c r="I50" s="10">
        <f t="shared" si="9"/>
        <v>141.75</v>
      </c>
      <c r="J50" s="10">
        <v>50</v>
      </c>
      <c r="K50" s="10">
        <v>50</v>
      </c>
    </row>
    <row r="51" spans="1:11" x14ac:dyDescent="0.25">
      <c r="A51" s="2">
        <v>17</v>
      </c>
      <c r="B51" s="2" t="s">
        <v>10</v>
      </c>
      <c r="C51" s="2" t="s">
        <v>16</v>
      </c>
      <c r="D51" s="2" t="s">
        <v>0</v>
      </c>
      <c r="E51" s="2">
        <f t="shared" si="10"/>
        <v>76.5</v>
      </c>
      <c r="F51" s="2">
        <f t="shared" si="11"/>
        <v>86.699999999999989</v>
      </c>
      <c r="G51" s="2" t="s">
        <v>45</v>
      </c>
      <c r="H51" s="10">
        <v>2100</v>
      </c>
      <c r="I51" s="10">
        <f t="shared" si="9"/>
        <v>160.65</v>
      </c>
      <c r="J51" s="10">
        <v>50</v>
      </c>
      <c r="K51" s="10">
        <v>50</v>
      </c>
    </row>
    <row r="52" spans="1:11" x14ac:dyDescent="0.25">
      <c r="A52" s="2">
        <v>19</v>
      </c>
      <c r="B52" s="2" t="s">
        <v>10</v>
      </c>
      <c r="C52" s="2" t="s">
        <v>16</v>
      </c>
      <c r="D52" s="2" t="s">
        <v>0</v>
      </c>
      <c r="E52" s="2">
        <f t="shared" si="10"/>
        <v>85.5</v>
      </c>
      <c r="F52" s="2">
        <f t="shared" si="11"/>
        <v>96.899999999999991</v>
      </c>
      <c r="G52" s="2" t="s">
        <v>45</v>
      </c>
      <c r="H52" s="10">
        <v>1700</v>
      </c>
      <c r="I52" s="10">
        <f t="shared" si="9"/>
        <v>145.35</v>
      </c>
      <c r="J52" s="10">
        <v>50</v>
      </c>
      <c r="K52" s="10">
        <v>50</v>
      </c>
    </row>
    <row r="53" spans="1:11" x14ac:dyDescent="0.25">
      <c r="A53" s="2">
        <v>20</v>
      </c>
      <c r="B53" s="2" t="s">
        <v>10</v>
      </c>
      <c r="C53" s="2" t="s">
        <v>16</v>
      </c>
      <c r="D53" s="2" t="s">
        <v>0</v>
      </c>
      <c r="E53" s="2">
        <f t="shared" si="10"/>
        <v>90</v>
      </c>
      <c r="F53" s="2">
        <f t="shared" si="11"/>
        <v>102</v>
      </c>
      <c r="G53" s="2" t="s">
        <v>45</v>
      </c>
      <c r="H53" s="10">
        <v>1700</v>
      </c>
      <c r="I53" s="10">
        <f t="shared" si="9"/>
        <v>153</v>
      </c>
      <c r="J53" s="10">
        <v>50</v>
      </c>
      <c r="K53" s="10">
        <v>50</v>
      </c>
    </row>
    <row r="54" spans="1:11" x14ac:dyDescent="0.25">
      <c r="A54" s="2">
        <v>22</v>
      </c>
      <c r="B54" s="2" t="s">
        <v>10</v>
      </c>
      <c r="C54" s="2" t="s">
        <v>16</v>
      </c>
      <c r="D54" s="2" t="s">
        <v>0</v>
      </c>
      <c r="E54" s="2">
        <f t="shared" si="10"/>
        <v>99</v>
      </c>
      <c r="F54" s="2">
        <f t="shared" si="11"/>
        <v>112.19999999999999</v>
      </c>
      <c r="G54" s="2" t="s">
        <v>45</v>
      </c>
      <c r="H54" s="10">
        <v>1700</v>
      </c>
      <c r="I54" s="10">
        <f t="shared" si="9"/>
        <v>168.3</v>
      </c>
      <c r="J54" s="10">
        <v>50</v>
      </c>
      <c r="K54" s="10">
        <v>50</v>
      </c>
    </row>
    <row r="55" spans="1:11" x14ac:dyDescent="0.25">
      <c r="A55" s="2">
        <v>24</v>
      </c>
      <c r="B55" s="2" t="s">
        <v>10</v>
      </c>
      <c r="C55" s="2" t="s">
        <v>16</v>
      </c>
      <c r="D55" s="2" t="s">
        <v>0</v>
      </c>
      <c r="E55" s="2">
        <f t="shared" si="10"/>
        <v>108</v>
      </c>
      <c r="F55" s="2">
        <f t="shared" si="11"/>
        <v>122.39999999999999</v>
      </c>
      <c r="G55" s="2" t="s">
        <v>45</v>
      </c>
      <c r="H55" s="10">
        <v>1600</v>
      </c>
      <c r="I55" s="10">
        <f t="shared" si="9"/>
        <v>172.8</v>
      </c>
      <c r="J55" s="10">
        <v>50</v>
      </c>
      <c r="K55" s="10">
        <v>50</v>
      </c>
    </row>
    <row r="56" spans="1:11" x14ac:dyDescent="0.25">
      <c r="A56" s="2">
        <v>26</v>
      </c>
      <c r="B56" s="2" t="s">
        <v>10</v>
      </c>
      <c r="C56" s="2" t="s">
        <v>16</v>
      </c>
      <c r="D56" s="2" t="s">
        <v>0</v>
      </c>
      <c r="E56" s="2">
        <f t="shared" si="10"/>
        <v>117</v>
      </c>
      <c r="F56" s="2">
        <f t="shared" si="11"/>
        <v>132.6</v>
      </c>
      <c r="G56" s="2" t="s">
        <v>45</v>
      </c>
      <c r="H56" s="10">
        <v>1600</v>
      </c>
      <c r="I56" s="10">
        <f t="shared" si="9"/>
        <v>187.2</v>
      </c>
      <c r="J56" s="10">
        <v>50</v>
      </c>
      <c r="K56" s="10">
        <v>50</v>
      </c>
    </row>
    <row r="57" spans="1:11" x14ac:dyDescent="0.25">
      <c r="A57" s="2">
        <v>28</v>
      </c>
      <c r="B57" s="2" t="s">
        <v>10</v>
      </c>
      <c r="C57" s="2" t="s">
        <v>16</v>
      </c>
      <c r="D57" s="2" t="s">
        <v>0</v>
      </c>
      <c r="E57" s="2">
        <f t="shared" si="10"/>
        <v>126</v>
      </c>
      <c r="F57" s="2">
        <f t="shared" si="11"/>
        <v>142.79999999999998</v>
      </c>
      <c r="G57" s="2" t="s">
        <v>45</v>
      </c>
      <c r="H57" s="10">
        <v>1500</v>
      </c>
      <c r="I57" s="10">
        <f t="shared" si="9"/>
        <v>189</v>
      </c>
      <c r="J57" s="10">
        <v>50</v>
      </c>
      <c r="K57" s="10">
        <v>50</v>
      </c>
    </row>
    <row r="58" spans="1:11" x14ac:dyDescent="0.25">
      <c r="A58" s="2">
        <v>30</v>
      </c>
      <c r="B58" s="2" t="s">
        <v>10</v>
      </c>
      <c r="C58" s="2" t="s">
        <v>16</v>
      </c>
      <c r="D58" s="2" t="s">
        <v>0</v>
      </c>
      <c r="E58" s="2">
        <f t="shared" si="10"/>
        <v>135</v>
      </c>
      <c r="F58" s="2">
        <f t="shared" si="11"/>
        <v>153</v>
      </c>
      <c r="G58" s="2" t="s">
        <v>45</v>
      </c>
      <c r="H58" s="10">
        <v>1500</v>
      </c>
      <c r="I58" s="10">
        <f t="shared" si="9"/>
        <v>202.5</v>
      </c>
      <c r="J58" s="10">
        <v>50</v>
      </c>
      <c r="K58" s="10">
        <v>50</v>
      </c>
    </row>
    <row r="59" spans="1:11" x14ac:dyDescent="0.25">
      <c r="A59" s="2">
        <v>32</v>
      </c>
      <c r="B59" s="2" t="s">
        <v>10</v>
      </c>
      <c r="C59" s="2" t="s">
        <v>16</v>
      </c>
      <c r="D59" s="2" t="s">
        <v>0</v>
      </c>
      <c r="E59" s="2">
        <f t="shared" si="10"/>
        <v>144</v>
      </c>
      <c r="F59" s="2">
        <f t="shared" si="11"/>
        <v>163.19999999999999</v>
      </c>
      <c r="G59" s="2" t="s">
        <v>45</v>
      </c>
      <c r="H59" s="10">
        <v>1400</v>
      </c>
      <c r="I59" s="10">
        <f t="shared" si="9"/>
        <v>201.6</v>
      </c>
      <c r="J59" s="10">
        <v>50</v>
      </c>
      <c r="K59" s="10">
        <v>50</v>
      </c>
    </row>
    <row r="60" spans="1:11" x14ac:dyDescent="0.25">
      <c r="A60" s="2">
        <v>34</v>
      </c>
      <c r="B60" s="2" t="s">
        <v>10</v>
      </c>
      <c r="C60" s="2" t="s">
        <v>16</v>
      </c>
      <c r="D60" s="2" t="s">
        <v>0</v>
      </c>
      <c r="E60" s="2">
        <f t="shared" si="10"/>
        <v>153</v>
      </c>
      <c r="F60" s="2">
        <f t="shared" si="11"/>
        <v>173.39999999999998</v>
      </c>
      <c r="G60" s="2" t="s">
        <v>45</v>
      </c>
      <c r="H60" s="10">
        <v>1400</v>
      </c>
      <c r="I60" s="10">
        <f t="shared" si="9"/>
        <v>214.2</v>
      </c>
      <c r="J60" s="10">
        <v>50</v>
      </c>
      <c r="K60" s="10">
        <v>50</v>
      </c>
    </row>
    <row r="61" spans="1:11" x14ac:dyDescent="0.25">
      <c r="A61" s="2">
        <v>36</v>
      </c>
      <c r="B61" s="2" t="s">
        <v>10</v>
      </c>
      <c r="C61" s="2" t="s">
        <v>16</v>
      </c>
      <c r="D61" s="2" t="s">
        <v>0</v>
      </c>
      <c r="E61" s="2">
        <f t="shared" si="10"/>
        <v>162</v>
      </c>
      <c r="F61" s="2">
        <f t="shared" si="11"/>
        <v>183.6</v>
      </c>
      <c r="G61" s="2" t="s">
        <v>45</v>
      </c>
      <c r="H61" s="10">
        <v>1400</v>
      </c>
      <c r="I61" s="10">
        <f t="shared" si="9"/>
        <v>226.8</v>
      </c>
      <c r="J61" s="10">
        <v>50</v>
      </c>
      <c r="K61" s="10">
        <v>50</v>
      </c>
    </row>
    <row r="62" spans="1:11" x14ac:dyDescent="0.25">
      <c r="A62" s="2"/>
      <c r="B62" s="2"/>
      <c r="C62" s="2"/>
      <c r="D62" s="2"/>
      <c r="E62" s="2"/>
      <c r="F62" s="2"/>
      <c r="G62" s="2"/>
    </row>
    <row r="63" spans="1:11" x14ac:dyDescent="0.25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9" t="s">
        <v>41</v>
      </c>
      <c r="H63" s="9" t="s">
        <v>35</v>
      </c>
      <c r="I63" s="9" t="s">
        <v>36</v>
      </c>
      <c r="J63" s="9" t="s">
        <v>38</v>
      </c>
      <c r="K63" s="9" t="s">
        <v>39</v>
      </c>
    </row>
    <row r="64" spans="1:11" x14ac:dyDescent="0.25">
      <c r="A64" s="2">
        <v>12</v>
      </c>
      <c r="B64" s="2" t="s">
        <v>11</v>
      </c>
      <c r="C64" s="2" t="s">
        <v>19</v>
      </c>
      <c r="D64" s="2" t="s">
        <v>0</v>
      </c>
      <c r="E64" s="2">
        <f>+A64*5</f>
        <v>60</v>
      </c>
      <c r="F64" s="2">
        <f>+A64*5.8</f>
        <v>69.599999999999994</v>
      </c>
      <c r="G64" s="2" t="s">
        <v>46</v>
      </c>
      <c r="H64" s="10">
        <v>2100</v>
      </c>
      <c r="I64" s="10">
        <f t="shared" ref="I64:I76" si="12">+E64*H64/1000</f>
        <v>126</v>
      </c>
      <c r="J64" s="10">
        <v>50</v>
      </c>
      <c r="K64" s="10">
        <v>50</v>
      </c>
    </row>
    <row r="65" spans="1:11" x14ac:dyDescent="0.25">
      <c r="A65" s="2">
        <v>15</v>
      </c>
      <c r="B65" s="2" t="s">
        <v>11</v>
      </c>
      <c r="C65" s="2" t="s">
        <v>19</v>
      </c>
      <c r="D65" s="2" t="s">
        <v>0</v>
      </c>
      <c r="E65" s="2">
        <f t="shared" ref="E65:E76" si="13">+A65*5</f>
        <v>75</v>
      </c>
      <c r="F65" s="2">
        <f t="shared" ref="F65:F76" si="14">+A65*5.8</f>
        <v>87</v>
      </c>
      <c r="G65" s="2" t="s">
        <v>46</v>
      </c>
      <c r="H65" s="10">
        <v>2100</v>
      </c>
      <c r="I65" s="10">
        <f t="shared" si="12"/>
        <v>157.5</v>
      </c>
      <c r="J65" s="10">
        <v>50</v>
      </c>
      <c r="K65" s="10">
        <v>50</v>
      </c>
    </row>
    <row r="66" spans="1:11" x14ac:dyDescent="0.25">
      <c r="A66" s="2">
        <v>17</v>
      </c>
      <c r="B66" s="2" t="s">
        <v>11</v>
      </c>
      <c r="C66" s="2" t="s">
        <v>19</v>
      </c>
      <c r="D66" s="2" t="s">
        <v>0</v>
      </c>
      <c r="E66" s="2">
        <f t="shared" si="13"/>
        <v>85</v>
      </c>
      <c r="F66" s="2">
        <f t="shared" si="14"/>
        <v>98.6</v>
      </c>
      <c r="G66" s="2" t="s">
        <v>46</v>
      </c>
      <c r="H66" s="10">
        <v>2100</v>
      </c>
      <c r="I66" s="10">
        <f t="shared" si="12"/>
        <v>178.5</v>
      </c>
      <c r="J66" s="10">
        <v>50</v>
      </c>
      <c r="K66" s="10">
        <v>50</v>
      </c>
    </row>
    <row r="67" spans="1:11" x14ac:dyDescent="0.25">
      <c r="A67" s="2">
        <v>19</v>
      </c>
      <c r="B67" s="2" t="s">
        <v>11</v>
      </c>
      <c r="C67" s="2" t="s">
        <v>19</v>
      </c>
      <c r="D67" s="2" t="s">
        <v>0</v>
      </c>
      <c r="E67" s="2">
        <f t="shared" si="13"/>
        <v>95</v>
      </c>
      <c r="F67" s="2">
        <f t="shared" si="14"/>
        <v>110.2</v>
      </c>
      <c r="G67" s="2" t="s">
        <v>46</v>
      </c>
      <c r="H67" s="10">
        <v>1700</v>
      </c>
      <c r="I67" s="10">
        <f t="shared" si="12"/>
        <v>161.5</v>
      </c>
      <c r="J67" s="10">
        <v>50</v>
      </c>
      <c r="K67" s="10">
        <v>50</v>
      </c>
    </row>
    <row r="68" spans="1:11" x14ac:dyDescent="0.25">
      <c r="A68" s="2">
        <v>20</v>
      </c>
      <c r="B68" s="2" t="s">
        <v>11</v>
      </c>
      <c r="C68" s="2" t="s">
        <v>19</v>
      </c>
      <c r="D68" s="2" t="s">
        <v>0</v>
      </c>
      <c r="E68" s="2">
        <f t="shared" si="13"/>
        <v>100</v>
      </c>
      <c r="F68" s="2">
        <f t="shared" si="14"/>
        <v>116</v>
      </c>
      <c r="G68" s="2" t="s">
        <v>46</v>
      </c>
      <c r="H68" s="10">
        <v>1700</v>
      </c>
      <c r="I68" s="10">
        <f t="shared" si="12"/>
        <v>170</v>
      </c>
      <c r="J68" s="10">
        <v>50</v>
      </c>
      <c r="K68" s="10">
        <v>50</v>
      </c>
    </row>
    <row r="69" spans="1:11" x14ac:dyDescent="0.25">
      <c r="A69" s="2">
        <v>22</v>
      </c>
      <c r="B69" s="2" t="s">
        <v>11</v>
      </c>
      <c r="C69" s="2" t="s">
        <v>19</v>
      </c>
      <c r="D69" s="2" t="s">
        <v>0</v>
      </c>
      <c r="E69" s="2">
        <f t="shared" si="13"/>
        <v>110</v>
      </c>
      <c r="F69" s="2">
        <f t="shared" si="14"/>
        <v>127.6</v>
      </c>
      <c r="G69" s="2" t="s">
        <v>46</v>
      </c>
      <c r="H69" s="10">
        <v>1700</v>
      </c>
      <c r="I69" s="10">
        <f t="shared" si="12"/>
        <v>187</v>
      </c>
      <c r="J69" s="10">
        <v>50</v>
      </c>
      <c r="K69" s="10">
        <v>50</v>
      </c>
    </row>
    <row r="70" spans="1:11" x14ac:dyDescent="0.25">
      <c r="A70" s="2">
        <v>24</v>
      </c>
      <c r="B70" s="2" t="s">
        <v>11</v>
      </c>
      <c r="C70" s="2" t="s">
        <v>19</v>
      </c>
      <c r="D70" s="2" t="s">
        <v>0</v>
      </c>
      <c r="E70" s="2">
        <f t="shared" si="13"/>
        <v>120</v>
      </c>
      <c r="F70" s="2">
        <f t="shared" si="14"/>
        <v>139.19999999999999</v>
      </c>
      <c r="G70" s="2" t="s">
        <v>46</v>
      </c>
      <c r="H70" s="10">
        <v>1600</v>
      </c>
      <c r="I70" s="10">
        <f t="shared" si="12"/>
        <v>192</v>
      </c>
      <c r="J70" s="10">
        <v>50</v>
      </c>
      <c r="K70" s="10">
        <v>50</v>
      </c>
    </row>
    <row r="71" spans="1:11" x14ac:dyDescent="0.25">
      <c r="A71" s="2">
        <v>26</v>
      </c>
      <c r="B71" s="2" t="s">
        <v>11</v>
      </c>
      <c r="C71" s="2" t="s">
        <v>19</v>
      </c>
      <c r="D71" s="2" t="s">
        <v>0</v>
      </c>
      <c r="E71" s="2">
        <f t="shared" si="13"/>
        <v>130</v>
      </c>
      <c r="F71" s="2">
        <f t="shared" si="14"/>
        <v>150.79999999999998</v>
      </c>
      <c r="G71" s="2" t="s">
        <v>46</v>
      </c>
      <c r="H71" s="10">
        <v>1600</v>
      </c>
      <c r="I71" s="10">
        <f t="shared" si="12"/>
        <v>208</v>
      </c>
      <c r="J71" s="10">
        <v>50</v>
      </c>
      <c r="K71" s="10">
        <v>50</v>
      </c>
    </row>
    <row r="72" spans="1:11" x14ac:dyDescent="0.25">
      <c r="A72" s="2">
        <v>28</v>
      </c>
      <c r="B72" s="2" t="s">
        <v>11</v>
      </c>
      <c r="C72" s="2" t="s">
        <v>19</v>
      </c>
      <c r="D72" s="2" t="s">
        <v>0</v>
      </c>
      <c r="E72" s="2">
        <f t="shared" si="13"/>
        <v>140</v>
      </c>
      <c r="F72" s="2">
        <f t="shared" si="14"/>
        <v>162.4</v>
      </c>
      <c r="G72" s="2" t="s">
        <v>46</v>
      </c>
      <c r="H72" s="10">
        <v>1500</v>
      </c>
      <c r="I72" s="10">
        <f t="shared" si="12"/>
        <v>210</v>
      </c>
      <c r="J72" s="10">
        <v>50</v>
      </c>
      <c r="K72" s="10">
        <v>50</v>
      </c>
    </row>
    <row r="73" spans="1:11" x14ac:dyDescent="0.25">
      <c r="A73" s="2">
        <v>30</v>
      </c>
      <c r="B73" s="2" t="s">
        <v>11</v>
      </c>
      <c r="C73" s="2" t="s">
        <v>19</v>
      </c>
      <c r="D73" s="2" t="s">
        <v>0</v>
      </c>
      <c r="E73" s="2">
        <f t="shared" si="13"/>
        <v>150</v>
      </c>
      <c r="F73" s="2">
        <f t="shared" si="14"/>
        <v>174</v>
      </c>
      <c r="G73" s="2" t="s">
        <v>46</v>
      </c>
      <c r="H73" s="10">
        <v>1500</v>
      </c>
      <c r="I73" s="10">
        <f t="shared" si="12"/>
        <v>225</v>
      </c>
      <c r="J73" s="10">
        <v>50</v>
      </c>
      <c r="K73" s="10">
        <v>50</v>
      </c>
    </row>
    <row r="74" spans="1:11" x14ac:dyDescent="0.25">
      <c r="A74" s="2">
        <v>32</v>
      </c>
      <c r="B74" s="2" t="s">
        <v>11</v>
      </c>
      <c r="C74" s="2" t="s">
        <v>19</v>
      </c>
      <c r="D74" s="2" t="s">
        <v>0</v>
      </c>
      <c r="E74" s="2">
        <f t="shared" si="13"/>
        <v>160</v>
      </c>
      <c r="F74" s="2">
        <f t="shared" si="14"/>
        <v>185.6</v>
      </c>
      <c r="G74" s="2" t="s">
        <v>46</v>
      </c>
      <c r="H74" s="10">
        <v>1400</v>
      </c>
      <c r="I74" s="10">
        <f t="shared" si="12"/>
        <v>224</v>
      </c>
      <c r="J74" s="10">
        <v>50</v>
      </c>
      <c r="K74" s="10">
        <v>50</v>
      </c>
    </row>
    <row r="75" spans="1:11" x14ac:dyDescent="0.25">
      <c r="A75" s="2">
        <v>34</v>
      </c>
      <c r="B75" s="2" t="s">
        <v>11</v>
      </c>
      <c r="C75" s="2" t="s">
        <v>19</v>
      </c>
      <c r="D75" s="2" t="s">
        <v>0</v>
      </c>
      <c r="E75" s="2">
        <f t="shared" si="13"/>
        <v>170</v>
      </c>
      <c r="F75" s="2">
        <f t="shared" si="14"/>
        <v>197.2</v>
      </c>
      <c r="G75" s="2" t="s">
        <v>46</v>
      </c>
      <c r="H75" s="10">
        <v>1400</v>
      </c>
      <c r="I75" s="10">
        <f t="shared" si="12"/>
        <v>238</v>
      </c>
      <c r="J75" s="10">
        <v>50</v>
      </c>
      <c r="K75" s="10">
        <v>50</v>
      </c>
    </row>
    <row r="76" spans="1:11" x14ac:dyDescent="0.25">
      <c r="A76" s="2">
        <v>36</v>
      </c>
      <c r="B76" s="2" t="s">
        <v>11</v>
      </c>
      <c r="C76" s="2" t="s">
        <v>19</v>
      </c>
      <c r="D76" s="2" t="s">
        <v>0</v>
      </c>
      <c r="E76" s="2">
        <f t="shared" si="13"/>
        <v>180</v>
      </c>
      <c r="F76" s="2">
        <f t="shared" si="14"/>
        <v>208.79999999999998</v>
      </c>
      <c r="G76" s="2" t="s">
        <v>46</v>
      </c>
      <c r="H76" s="10">
        <v>1400</v>
      </c>
      <c r="I76" s="10">
        <f t="shared" si="12"/>
        <v>252</v>
      </c>
      <c r="J76" s="10">
        <v>50</v>
      </c>
      <c r="K76" s="10">
        <v>50</v>
      </c>
    </row>
  </sheetData>
  <mergeCells count="2">
    <mergeCell ref="H1:I1"/>
    <mergeCell ref="J2:K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18A7-A41F-AD46-AAFE-410EECF904C9}">
  <dimension ref="A1:J76"/>
  <sheetViews>
    <sheetView workbookViewId="0">
      <selection activeCell="I2" sqref="I2:J2"/>
    </sheetView>
  </sheetViews>
  <sheetFormatPr defaultColWidth="11.42578125" defaultRowHeight="15" x14ac:dyDescent="0.25"/>
  <cols>
    <col min="1" max="4" width="11.42578125" style="4"/>
    <col min="5" max="5" width="21.85546875" style="4" customWidth="1"/>
    <col min="6" max="6" width="19.85546875" style="4" customWidth="1"/>
    <col min="7" max="7" width="13.28515625" style="10" customWidth="1"/>
    <col min="8" max="8" width="12.7109375" style="10" customWidth="1"/>
    <col min="9" max="9" width="12.5703125" style="10" customWidth="1"/>
    <col min="10" max="10" width="11.42578125" style="10"/>
    <col min="11" max="16384" width="11.42578125" style="4"/>
  </cols>
  <sheetData>
    <row r="1" spans="1:10" s="10" customFormat="1" x14ac:dyDescent="0.25">
      <c r="G1" s="11" t="s">
        <v>40</v>
      </c>
      <c r="H1" s="11"/>
    </row>
    <row r="2" spans="1:10" s="10" customFormat="1" x14ac:dyDescent="0.25">
      <c r="G2" s="9" t="s">
        <v>37</v>
      </c>
      <c r="H2" s="9" t="s">
        <v>37</v>
      </c>
      <c r="I2" s="11" t="s">
        <v>47</v>
      </c>
      <c r="J2" s="11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35</v>
      </c>
      <c r="H3" s="9" t="s">
        <v>36</v>
      </c>
      <c r="I3" s="5" t="s">
        <v>38</v>
      </c>
      <c r="J3" s="5" t="s">
        <v>39</v>
      </c>
    </row>
    <row r="4" spans="1:10" x14ac:dyDescent="0.25">
      <c r="A4" s="2">
        <v>12</v>
      </c>
      <c r="B4" s="2" t="s">
        <v>7</v>
      </c>
      <c r="C4" s="2" t="s">
        <v>20</v>
      </c>
      <c r="D4" s="2" t="s">
        <v>21</v>
      </c>
      <c r="E4" s="4">
        <f>+A4*3</f>
        <v>36</v>
      </c>
      <c r="F4" s="4">
        <f>+A4*3.5</f>
        <v>42</v>
      </c>
      <c r="G4" s="10">
        <v>2600</v>
      </c>
      <c r="H4" s="10">
        <f t="shared" ref="H4:H16" si="0">+E4*G4/1000</f>
        <v>93.6</v>
      </c>
      <c r="I4" s="10">
        <v>55</v>
      </c>
      <c r="J4" s="10">
        <v>45</v>
      </c>
    </row>
    <row r="5" spans="1:10" x14ac:dyDescent="0.25">
      <c r="A5" s="2">
        <v>15</v>
      </c>
      <c r="B5" s="2" t="s">
        <v>7</v>
      </c>
      <c r="C5" s="2" t="s">
        <v>20</v>
      </c>
      <c r="D5" s="2" t="s">
        <v>21</v>
      </c>
      <c r="E5" s="4">
        <f t="shared" ref="E5:E16" si="1">+A5*3</f>
        <v>45</v>
      </c>
      <c r="F5" s="4">
        <f t="shared" ref="F5:F16" si="2">+A5*3.5</f>
        <v>52.5</v>
      </c>
      <c r="G5" s="10">
        <v>2600</v>
      </c>
      <c r="H5" s="10">
        <f t="shared" si="0"/>
        <v>117</v>
      </c>
      <c r="I5" s="10">
        <v>55</v>
      </c>
      <c r="J5" s="10">
        <v>45</v>
      </c>
    </row>
    <row r="6" spans="1:10" x14ac:dyDescent="0.25">
      <c r="A6" s="2">
        <v>17</v>
      </c>
      <c r="B6" s="2" t="s">
        <v>7</v>
      </c>
      <c r="C6" s="2" t="s">
        <v>20</v>
      </c>
      <c r="D6" s="2" t="s">
        <v>21</v>
      </c>
      <c r="E6" s="4">
        <f t="shared" si="1"/>
        <v>51</v>
      </c>
      <c r="F6" s="4">
        <f t="shared" si="2"/>
        <v>59.5</v>
      </c>
      <c r="G6" s="10">
        <v>2600</v>
      </c>
      <c r="H6" s="10">
        <f t="shared" si="0"/>
        <v>132.6</v>
      </c>
      <c r="I6" s="10">
        <v>55</v>
      </c>
      <c r="J6" s="10">
        <v>45</v>
      </c>
    </row>
    <row r="7" spans="1:10" x14ac:dyDescent="0.25">
      <c r="A7" s="2">
        <v>19</v>
      </c>
      <c r="B7" s="2" t="s">
        <v>7</v>
      </c>
      <c r="C7" s="2" t="s">
        <v>20</v>
      </c>
      <c r="D7" s="2" t="s">
        <v>21</v>
      </c>
      <c r="E7" s="4">
        <f t="shared" si="1"/>
        <v>57</v>
      </c>
      <c r="F7" s="4">
        <f t="shared" si="2"/>
        <v>66.5</v>
      </c>
      <c r="G7" s="10">
        <v>2500</v>
      </c>
      <c r="H7" s="10">
        <f t="shared" si="0"/>
        <v>142.5</v>
      </c>
      <c r="I7" s="10">
        <v>55</v>
      </c>
      <c r="J7" s="10">
        <v>45</v>
      </c>
    </row>
    <row r="8" spans="1:10" x14ac:dyDescent="0.25">
      <c r="A8" s="2">
        <v>20</v>
      </c>
      <c r="B8" s="2" t="s">
        <v>7</v>
      </c>
      <c r="C8" s="2" t="s">
        <v>20</v>
      </c>
      <c r="D8" s="2" t="s">
        <v>21</v>
      </c>
      <c r="E8" s="4">
        <f t="shared" si="1"/>
        <v>60</v>
      </c>
      <c r="F8" s="4">
        <f t="shared" si="2"/>
        <v>70</v>
      </c>
      <c r="G8" s="10">
        <v>2500</v>
      </c>
      <c r="H8" s="10">
        <f t="shared" si="0"/>
        <v>150</v>
      </c>
      <c r="I8" s="10">
        <v>55</v>
      </c>
      <c r="J8" s="10">
        <v>45</v>
      </c>
    </row>
    <row r="9" spans="1:10" x14ac:dyDescent="0.25">
      <c r="A9" s="2">
        <v>22</v>
      </c>
      <c r="B9" s="2" t="s">
        <v>7</v>
      </c>
      <c r="C9" s="2" t="s">
        <v>20</v>
      </c>
      <c r="D9" s="2" t="s">
        <v>21</v>
      </c>
      <c r="E9" s="4">
        <f t="shared" si="1"/>
        <v>66</v>
      </c>
      <c r="F9" s="4">
        <f t="shared" si="2"/>
        <v>77</v>
      </c>
      <c r="G9" s="10">
        <v>2400</v>
      </c>
      <c r="H9" s="10">
        <f t="shared" si="0"/>
        <v>158.4</v>
      </c>
      <c r="I9" s="10">
        <v>55</v>
      </c>
      <c r="J9" s="10">
        <v>45</v>
      </c>
    </row>
    <row r="10" spans="1:10" x14ac:dyDescent="0.25">
      <c r="A10" s="2">
        <v>24</v>
      </c>
      <c r="B10" s="2" t="s">
        <v>7</v>
      </c>
      <c r="C10" s="2" t="s">
        <v>20</v>
      </c>
      <c r="D10" s="2" t="s">
        <v>21</v>
      </c>
      <c r="E10" s="4">
        <f t="shared" si="1"/>
        <v>72</v>
      </c>
      <c r="F10" s="4">
        <f t="shared" si="2"/>
        <v>84</v>
      </c>
      <c r="G10" s="10">
        <v>2200</v>
      </c>
      <c r="H10" s="10">
        <f t="shared" si="0"/>
        <v>158.4</v>
      </c>
      <c r="I10" s="10">
        <v>55</v>
      </c>
      <c r="J10" s="10">
        <v>45</v>
      </c>
    </row>
    <row r="11" spans="1:10" x14ac:dyDescent="0.25">
      <c r="A11" s="2">
        <v>26</v>
      </c>
      <c r="B11" s="2" t="s">
        <v>7</v>
      </c>
      <c r="C11" s="2" t="s">
        <v>20</v>
      </c>
      <c r="D11" s="2" t="s">
        <v>21</v>
      </c>
      <c r="E11" s="4">
        <f t="shared" si="1"/>
        <v>78</v>
      </c>
      <c r="F11" s="4">
        <f t="shared" si="2"/>
        <v>91</v>
      </c>
      <c r="G11" s="10">
        <v>2100</v>
      </c>
      <c r="H11" s="10">
        <f t="shared" si="0"/>
        <v>163.80000000000001</v>
      </c>
      <c r="I11" s="10">
        <v>55</v>
      </c>
      <c r="J11" s="10">
        <v>45</v>
      </c>
    </row>
    <row r="12" spans="1:10" x14ac:dyDescent="0.25">
      <c r="A12" s="2">
        <v>28</v>
      </c>
      <c r="B12" s="2" t="s">
        <v>7</v>
      </c>
      <c r="C12" s="2" t="s">
        <v>20</v>
      </c>
      <c r="D12" s="2" t="s">
        <v>21</v>
      </c>
      <c r="E12" s="4">
        <f t="shared" si="1"/>
        <v>84</v>
      </c>
      <c r="F12" s="4">
        <f t="shared" si="2"/>
        <v>98</v>
      </c>
      <c r="G12" s="10">
        <v>2000</v>
      </c>
      <c r="H12" s="10">
        <f t="shared" si="0"/>
        <v>168</v>
      </c>
      <c r="I12" s="10">
        <v>55</v>
      </c>
      <c r="J12" s="10">
        <v>45</v>
      </c>
    </row>
    <row r="13" spans="1:10" x14ac:dyDescent="0.25">
      <c r="A13" s="2">
        <v>30</v>
      </c>
      <c r="B13" s="2" t="s">
        <v>7</v>
      </c>
      <c r="C13" s="2" t="s">
        <v>20</v>
      </c>
      <c r="D13" s="2" t="s">
        <v>21</v>
      </c>
      <c r="E13" s="4">
        <f t="shared" si="1"/>
        <v>90</v>
      </c>
      <c r="F13" s="4">
        <f t="shared" si="2"/>
        <v>105</v>
      </c>
      <c r="G13" s="10">
        <v>1900</v>
      </c>
      <c r="H13" s="10">
        <f t="shared" si="0"/>
        <v>171</v>
      </c>
      <c r="I13" s="10">
        <v>55</v>
      </c>
      <c r="J13" s="10">
        <v>45</v>
      </c>
    </row>
    <row r="14" spans="1:10" x14ac:dyDescent="0.25">
      <c r="A14" s="2">
        <v>32</v>
      </c>
      <c r="B14" s="2" t="s">
        <v>7</v>
      </c>
      <c r="C14" s="2" t="s">
        <v>20</v>
      </c>
      <c r="D14" s="2" t="s">
        <v>21</v>
      </c>
      <c r="E14" s="4">
        <f t="shared" si="1"/>
        <v>96</v>
      </c>
      <c r="F14" s="4">
        <f t="shared" si="2"/>
        <v>112</v>
      </c>
      <c r="G14" s="10">
        <v>1750</v>
      </c>
      <c r="H14" s="10">
        <f t="shared" si="0"/>
        <v>168</v>
      </c>
      <c r="I14" s="10">
        <v>55</v>
      </c>
      <c r="J14" s="10">
        <v>45</v>
      </c>
    </row>
    <row r="15" spans="1:10" x14ac:dyDescent="0.25">
      <c r="A15" s="2">
        <v>34</v>
      </c>
      <c r="B15" s="2" t="s">
        <v>7</v>
      </c>
      <c r="C15" s="2" t="s">
        <v>20</v>
      </c>
      <c r="D15" s="2" t="s">
        <v>21</v>
      </c>
      <c r="E15" s="4">
        <f t="shared" si="1"/>
        <v>102</v>
      </c>
      <c r="F15" s="4">
        <f t="shared" si="2"/>
        <v>119</v>
      </c>
      <c r="G15" s="10">
        <v>1650</v>
      </c>
      <c r="H15" s="10">
        <f t="shared" si="0"/>
        <v>168.3</v>
      </c>
      <c r="I15" s="10">
        <v>55</v>
      </c>
      <c r="J15" s="10">
        <v>45</v>
      </c>
    </row>
    <row r="16" spans="1:10" x14ac:dyDescent="0.25">
      <c r="A16" s="2">
        <v>36</v>
      </c>
      <c r="B16" s="2" t="s">
        <v>7</v>
      </c>
      <c r="C16" s="2" t="s">
        <v>20</v>
      </c>
      <c r="D16" s="2" t="s">
        <v>21</v>
      </c>
      <c r="E16" s="4">
        <f t="shared" si="1"/>
        <v>108</v>
      </c>
      <c r="F16" s="4">
        <f t="shared" si="2"/>
        <v>126</v>
      </c>
      <c r="G16" s="10">
        <v>1600</v>
      </c>
      <c r="H16" s="10">
        <f t="shared" si="0"/>
        <v>172.8</v>
      </c>
      <c r="I16" s="10">
        <v>55</v>
      </c>
      <c r="J16" s="10">
        <v>45</v>
      </c>
    </row>
    <row r="17" spans="1:10" x14ac:dyDescent="0.25">
      <c r="A17" s="2"/>
      <c r="B17" s="2"/>
      <c r="C17" s="2"/>
      <c r="D17" s="2"/>
      <c r="E17" s="2"/>
      <c r="F17" s="2"/>
    </row>
    <row r="18" spans="1:10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9" t="s">
        <v>35</v>
      </c>
      <c r="H18" s="9" t="s">
        <v>36</v>
      </c>
      <c r="I18" s="5" t="s">
        <v>38</v>
      </c>
      <c r="J18" s="5" t="s">
        <v>39</v>
      </c>
    </row>
    <row r="19" spans="1:10" x14ac:dyDescent="0.25">
      <c r="A19" s="2">
        <v>12</v>
      </c>
      <c r="B19" s="2" t="s">
        <v>8</v>
      </c>
      <c r="C19" s="2" t="s">
        <v>22</v>
      </c>
      <c r="D19" s="2" t="s">
        <v>21</v>
      </c>
      <c r="E19" s="4">
        <f>+A19*3.5</f>
        <v>42</v>
      </c>
      <c r="F19" s="4">
        <f>+A19*4</f>
        <v>48</v>
      </c>
      <c r="G19" s="10">
        <v>2600</v>
      </c>
      <c r="H19" s="10">
        <f t="shared" ref="H19:H31" si="3">+E19*G19/1000</f>
        <v>109.2</v>
      </c>
      <c r="I19" s="10">
        <v>55</v>
      </c>
      <c r="J19" s="10">
        <v>45</v>
      </c>
    </row>
    <row r="20" spans="1:10" x14ac:dyDescent="0.25">
      <c r="A20" s="2">
        <v>15</v>
      </c>
      <c r="B20" s="2" t="s">
        <v>8</v>
      </c>
      <c r="C20" s="2" t="s">
        <v>22</v>
      </c>
      <c r="D20" s="2" t="s">
        <v>21</v>
      </c>
      <c r="E20" s="4">
        <f t="shared" ref="E20:E31" si="4">+A20*3.5</f>
        <v>52.5</v>
      </c>
      <c r="F20" s="4">
        <f t="shared" ref="F20:F31" si="5">+A20*4</f>
        <v>60</v>
      </c>
      <c r="G20" s="10">
        <v>2600</v>
      </c>
      <c r="H20" s="10">
        <f t="shared" si="3"/>
        <v>136.5</v>
      </c>
      <c r="I20" s="10">
        <v>55</v>
      </c>
      <c r="J20" s="10">
        <v>45</v>
      </c>
    </row>
    <row r="21" spans="1:10" x14ac:dyDescent="0.25">
      <c r="A21" s="2">
        <v>17</v>
      </c>
      <c r="B21" s="2" t="s">
        <v>8</v>
      </c>
      <c r="C21" s="2" t="s">
        <v>22</v>
      </c>
      <c r="D21" s="2" t="s">
        <v>21</v>
      </c>
      <c r="E21" s="4">
        <f t="shared" si="4"/>
        <v>59.5</v>
      </c>
      <c r="F21" s="4">
        <f t="shared" si="5"/>
        <v>68</v>
      </c>
      <c r="G21" s="10">
        <v>2600</v>
      </c>
      <c r="H21" s="10">
        <f t="shared" si="3"/>
        <v>154.69999999999999</v>
      </c>
      <c r="I21" s="10">
        <v>55</v>
      </c>
      <c r="J21" s="10">
        <v>45</v>
      </c>
    </row>
    <row r="22" spans="1:10" x14ac:dyDescent="0.25">
      <c r="A22" s="2">
        <v>19</v>
      </c>
      <c r="B22" s="2" t="s">
        <v>8</v>
      </c>
      <c r="C22" s="2" t="s">
        <v>22</v>
      </c>
      <c r="D22" s="2" t="s">
        <v>21</v>
      </c>
      <c r="E22" s="4">
        <f t="shared" si="4"/>
        <v>66.5</v>
      </c>
      <c r="F22" s="4">
        <f t="shared" si="5"/>
        <v>76</v>
      </c>
      <c r="G22" s="10">
        <v>2500</v>
      </c>
      <c r="H22" s="10">
        <f t="shared" si="3"/>
        <v>166.25</v>
      </c>
      <c r="I22" s="10">
        <v>55</v>
      </c>
      <c r="J22" s="10">
        <v>45</v>
      </c>
    </row>
    <row r="23" spans="1:10" x14ac:dyDescent="0.25">
      <c r="A23" s="2">
        <v>20</v>
      </c>
      <c r="B23" s="2" t="s">
        <v>8</v>
      </c>
      <c r="C23" s="2" t="s">
        <v>22</v>
      </c>
      <c r="D23" s="2" t="s">
        <v>21</v>
      </c>
      <c r="E23" s="4">
        <f t="shared" si="4"/>
        <v>70</v>
      </c>
      <c r="F23" s="4">
        <f t="shared" si="5"/>
        <v>80</v>
      </c>
      <c r="G23" s="10">
        <v>2400</v>
      </c>
      <c r="H23" s="10">
        <f t="shared" si="3"/>
        <v>168</v>
      </c>
      <c r="I23" s="10">
        <v>55</v>
      </c>
      <c r="J23" s="10">
        <v>45</v>
      </c>
    </row>
    <row r="24" spans="1:10" x14ac:dyDescent="0.25">
      <c r="A24" s="2">
        <v>22</v>
      </c>
      <c r="B24" s="2" t="s">
        <v>8</v>
      </c>
      <c r="C24" s="2" t="s">
        <v>22</v>
      </c>
      <c r="D24" s="2" t="s">
        <v>21</v>
      </c>
      <c r="E24" s="4">
        <f t="shared" si="4"/>
        <v>77</v>
      </c>
      <c r="F24" s="4">
        <f t="shared" si="5"/>
        <v>88</v>
      </c>
      <c r="G24" s="10">
        <v>2200</v>
      </c>
      <c r="H24" s="10">
        <f t="shared" si="3"/>
        <v>169.4</v>
      </c>
      <c r="I24" s="10">
        <v>55</v>
      </c>
      <c r="J24" s="10">
        <v>45</v>
      </c>
    </row>
    <row r="25" spans="1:10" x14ac:dyDescent="0.25">
      <c r="A25" s="2">
        <v>24</v>
      </c>
      <c r="B25" s="2" t="s">
        <v>8</v>
      </c>
      <c r="C25" s="2" t="s">
        <v>22</v>
      </c>
      <c r="D25" s="2" t="s">
        <v>21</v>
      </c>
      <c r="E25" s="4">
        <f t="shared" si="4"/>
        <v>84</v>
      </c>
      <c r="F25" s="4">
        <f t="shared" si="5"/>
        <v>96</v>
      </c>
      <c r="G25" s="10">
        <v>2100</v>
      </c>
      <c r="H25" s="10">
        <f t="shared" si="3"/>
        <v>176.4</v>
      </c>
      <c r="I25" s="10">
        <v>55</v>
      </c>
      <c r="J25" s="10">
        <v>45</v>
      </c>
    </row>
    <row r="26" spans="1:10" x14ac:dyDescent="0.25">
      <c r="A26" s="2">
        <v>26</v>
      </c>
      <c r="B26" s="2" t="s">
        <v>8</v>
      </c>
      <c r="C26" s="2" t="s">
        <v>22</v>
      </c>
      <c r="D26" s="2" t="s">
        <v>21</v>
      </c>
      <c r="E26" s="4">
        <f t="shared" si="4"/>
        <v>91</v>
      </c>
      <c r="F26" s="4">
        <f t="shared" si="5"/>
        <v>104</v>
      </c>
      <c r="G26" s="10">
        <v>2100</v>
      </c>
      <c r="H26" s="10">
        <f t="shared" si="3"/>
        <v>191.1</v>
      </c>
      <c r="I26" s="10">
        <v>55</v>
      </c>
      <c r="J26" s="10">
        <v>45</v>
      </c>
    </row>
    <row r="27" spans="1:10" x14ac:dyDescent="0.25">
      <c r="A27" s="2">
        <v>28</v>
      </c>
      <c r="B27" s="2" t="s">
        <v>8</v>
      </c>
      <c r="C27" s="2" t="s">
        <v>22</v>
      </c>
      <c r="D27" s="2" t="s">
        <v>21</v>
      </c>
      <c r="E27" s="4">
        <f t="shared" si="4"/>
        <v>98</v>
      </c>
      <c r="F27" s="4">
        <f t="shared" si="5"/>
        <v>112</v>
      </c>
      <c r="G27" s="10">
        <v>2000</v>
      </c>
      <c r="H27" s="10">
        <f t="shared" si="3"/>
        <v>196</v>
      </c>
      <c r="I27" s="10">
        <v>55</v>
      </c>
      <c r="J27" s="10">
        <v>45</v>
      </c>
    </row>
    <row r="28" spans="1:10" x14ac:dyDescent="0.25">
      <c r="A28" s="2">
        <v>30</v>
      </c>
      <c r="B28" s="2" t="s">
        <v>8</v>
      </c>
      <c r="C28" s="2" t="s">
        <v>22</v>
      </c>
      <c r="D28" s="2" t="s">
        <v>21</v>
      </c>
      <c r="E28" s="4">
        <f t="shared" si="4"/>
        <v>105</v>
      </c>
      <c r="F28" s="4">
        <f t="shared" si="5"/>
        <v>120</v>
      </c>
      <c r="G28" s="10">
        <v>1900</v>
      </c>
      <c r="H28" s="10">
        <f t="shared" si="3"/>
        <v>199.5</v>
      </c>
      <c r="I28" s="10">
        <v>55</v>
      </c>
      <c r="J28" s="10">
        <v>45</v>
      </c>
    </row>
    <row r="29" spans="1:10" x14ac:dyDescent="0.25">
      <c r="A29" s="2">
        <v>32</v>
      </c>
      <c r="B29" s="2" t="s">
        <v>8</v>
      </c>
      <c r="C29" s="2" t="s">
        <v>22</v>
      </c>
      <c r="D29" s="2" t="s">
        <v>21</v>
      </c>
      <c r="E29" s="4">
        <f t="shared" si="4"/>
        <v>112</v>
      </c>
      <c r="F29" s="4">
        <f t="shared" si="5"/>
        <v>128</v>
      </c>
      <c r="G29" s="10">
        <v>1750</v>
      </c>
      <c r="H29" s="10">
        <f t="shared" si="3"/>
        <v>196</v>
      </c>
      <c r="I29" s="10">
        <v>55</v>
      </c>
      <c r="J29" s="10">
        <v>45</v>
      </c>
    </row>
    <row r="30" spans="1:10" x14ac:dyDescent="0.25">
      <c r="A30" s="2">
        <v>34</v>
      </c>
      <c r="B30" s="2" t="s">
        <v>8</v>
      </c>
      <c r="C30" s="2" t="s">
        <v>22</v>
      </c>
      <c r="D30" s="2" t="s">
        <v>21</v>
      </c>
      <c r="E30" s="4">
        <f t="shared" si="4"/>
        <v>119</v>
      </c>
      <c r="F30" s="4">
        <f t="shared" si="5"/>
        <v>136</v>
      </c>
      <c r="G30" s="10">
        <v>1650</v>
      </c>
      <c r="H30" s="10">
        <f t="shared" si="3"/>
        <v>196.35</v>
      </c>
      <c r="I30" s="10">
        <v>55</v>
      </c>
      <c r="J30" s="10">
        <v>45</v>
      </c>
    </row>
    <row r="31" spans="1:10" x14ac:dyDescent="0.25">
      <c r="A31" s="2">
        <v>36</v>
      </c>
      <c r="B31" s="2" t="s">
        <v>8</v>
      </c>
      <c r="C31" s="2" t="s">
        <v>22</v>
      </c>
      <c r="D31" s="2" t="s">
        <v>21</v>
      </c>
      <c r="E31" s="4">
        <f t="shared" si="4"/>
        <v>126</v>
      </c>
      <c r="F31" s="4">
        <f t="shared" si="5"/>
        <v>144</v>
      </c>
      <c r="G31" s="10">
        <v>1600</v>
      </c>
      <c r="H31" s="10">
        <f t="shared" si="3"/>
        <v>201.6</v>
      </c>
      <c r="I31" s="10">
        <v>55</v>
      </c>
      <c r="J31" s="10">
        <v>45</v>
      </c>
    </row>
    <row r="32" spans="1:10" x14ac:dyDescent="0.25">
      <c r="A32" s="2"/>
      <c r="B32" s="2"/>
      <c r="C32" s="2"/>
      <c r="D32" s="2"/>
      <c r="E32" s="2"/>
      <c r="F32" s="2"/>
    </row>
    <row r="33" spans="1:10" x14ac:dyDescent="0.2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9" t="s">
        <v>35</v>
      </c>
      <c r="H33" s="9" t="s">
        <v>36</v>
      </c>
      <c r="I33" s="5" t="s">
        <v>38</v>
      </c>
      <c r="J33" s="5" t="s">
        <v>39</v>
      </c>
    </row>
    <row r="34" spans="1:10" x14ac:dyDescent="0.25">
      <c r="A34" s="2">
        <v>12</v>
      </c>
      <c r="B34" s="2" t="s">
        <v>9</v>
      </c>
      <c r="C34" s="2" t="s">
        <v>23</v>
      </c>
      <c r="D34" s="2" t="s">
        <v>21</v>
      </c>
      <c r="E34" s="2">
        <f>+A34*4</f>
        <v>48</v>
      </c>
      <c r="F34" s="2">
        <f>+A34*4.5</f>
        <v>54</v>
      </c>
      <c r="G34" s="10">
        <v>2500</v>
      </c>
      <c r="H34" s="10">
        <f t="shared" ref="H34:H46" si="6">+E34*G34/1000</f>
        <v>120</v>
      </c>
      <c r="I34" s="10">
        <v>55</v>
      </c>
      <c r="J34" s="10">
        <v>45</v>
      </c>
    </row>
    <row r="35" spans="1:10" x14ac:dyDescent="0.25">
      <c r="A35" s="2">
        <v>15</v>
      </c>
      <c r="B35" s="2" t="s">
        <v>9</v>
      </c>
      <c r="C35" s="2" t="s">
        <v>23</v>
      </c>
      <c r="D35" s="2" t="s">
        <v>21</v>
      </c>
      <c r="E35" s="2">
        <f t="shared" ref="E35:E46" si="7">+A35*4</f>
        <v>60</v>
      </c>
      <c r="F35" s="2">
        <f t="shared" ref="F35:F46" si="8">+A35*4.5</f>
        <v>67.5</v>
      </c>
      <c r="G35" s="10">
        <v>2450</v>
      </c>
      <c r="H35" s="10">
        <f t="shared" si="6"/>
        <v>147</v>
      </c>
      <c r="I35" s="10">
        <v>55</v>
      </c>
      <c r="J35" s="10">
        <v>45</v>
      </c>
    </row>
    <row r="36" spans="1:10" x14ac:dyDescent="0.25">
      <c r="A36" s="2">
        <v>17</v>
      </c>
      <c r="B36" s="2" t="s">
        <v>9</v>
      </c>
      <c r="C36" s="2" t="s">
        <v>23</v>
      </c>
      <c r="D36" s="2" t="s">
        <v>21</v>
      </c>
      <c r="E36" s="2">
        <f t="shared" si="7"/>
        <v>68</v>
      </c>
      <c r="F36" s="2">
        <f t="shared" si="8"/>
        <v>76.5</v>
      </c>
      <c r="G36" s="10">
        <v>2450</v>
      </c>
      <c r="H36" s="10">
        <f t="shared" si="6"/>
        <v>166.6</v>
      </c>
      <c r="I36" s="10">
        <v>55</v>
      </c>
      <c r="J36" s="10">
        <v>45</v>
      </c>
    </row>
    <row r="37" spans="1:10" x14ac:dyDescent="0.25">
      <c r="A37" s="2">
        <v>19</v>
      </c>
      <c r="B37" s="2" t="s">
        <v>9</v>
      </c>
      <c r="C37" s="2" t="s">
        <v>23</v>
      </c>
      <c r="D37" s="2" t="s">
        <v>21</v>
      </c>
      <c r="E37" s="2">
        <f t="shared" si="7"/>
        <v>76</v>
      </c>
      <c r="F37" s="2">
        <f t="shared" si="8"/>
        <v>85.5</v>
      </c>
      <c r="G37" s="10">
        <v>2250</v>
      </c>
      <c r="H37" s="10">
        <f t="shared" si="6"/>
        <v>171</v>
      </c>
      <c r="I37" s="10">
        <v>55</v>
      </c>
      <c r="J37" s="10">
        <v>45</v>
      </c>
    </row>
    <row r="38" spans="1:10" x14ac:dyDescent="0.25">
      <c r="A38" s="2">
        <v>20</v>
      </c>
      <c r="B38" s="2" t="s">
        <v>9</v>
      </c>
      <c r="C38" s="2" t="s">
        <v>23</v>
      </c>
      <c r="D38" s="2" t="s">
        <v>21</v>
      </c>
      <c r="E38" s="2">
        <f t="shared" si="7"/>
        <v>80</v>
      </c>
      <c r="F38" s="2">
        <f t="shared" si="8"/>
        <v>90</v>
      </c>
      <c r="G38" s="10">
        <v>2200</v>
      </c>
      <c r="H38" s="10">
        <f t="shared" si="6"/>
        <v>176</v>
      </c>
      <c r="I38" s="10">
        <v>55</v>
      </c>
      <c r="J38" s="10">
        <v>45</v>
      </c>
    </row>
    <row r="39" spans="1:10" x14ac:dyDescent="0.25">
      <c r="A39" s="2">
        <v>22</v>
      </c>
      <c r="B39" s="2" t="s">
        <v>9</v>
      </c>
      <c r="C39" s="2" t="s">
        <v>23</v>
      </c>
      <c r="D39" s="2" t="s">
        <v>21</v>
      </c>
      <c r="E39" s="2">
        <f t="shared" si="7"/>
        <v>88</v>
      </c>
      <c r="F39" s="2">
        <f t="shared" si="8"/>
        <v>99</v>
      </c>
      <c r="G39" s="10">
        <v>2100</v>
      </c>
      <c r="H39" s="10">
        <f t="shared" si="6"/>
        <v>184.8</v>
      </c>
      <c r="I39" s="10">
        <v>55</v>
      </c>
      <c r="J39" s="10">
        <v>45</v>
      </c>
    </row>
    <row r="40" spans="1:10" x14ac:dyDescent="0.25">
      <c r="A40" s="2">
        <v>24</v>
      </c>
      <c r="B40" s="2" t="s">
        <v>9</v>
      </c>
      <c r="C40" s="2" t="s">
        <v>23</v>
      </c>
      <c r="D40" s="2" t="s">
        <v>21</v>
      </c>
      <c r="E40" s="2">
        <f t="shared" si="7"/>
        <v>96</v>
      </c>
      <c r="F40" s="2">
        <f t="shared" si="8"/>
        <v>108</v>
      </c>
      <c r="G40" s="10">
        <v>2000</v>
      </c>
      <c r="H40" s="10">
        <f t="shared" si="6"/>
        <v>192</v>
      </c>
      <c r="I40" s="10">
        <v>55</v>
      </c>
      <c r="J40" s="10">
        <v>45</v>
      </c>
    </row>
    <row r="41" spans="1:10" x14ac:dyDescent="0.25">
      <c r="A41" s="2">
        <v>26</v>
      </c>
      <c r="B41" s="2" t="s">
        <v>9</v>
      </c>
      <c r="C41" s="2" t="s">
        <v>23</v>
      </c>
      <c r="D41" s="2" t="s">
        <v>21</v>
      </c>
      <c r="E41" s="2">
        <f t="shared" si="7"/>
        <v>104</v>
      </c>
      <c r="F41" s="2">
        <f t="shared" si="8"/>
        <v>117</v>
      </c>
      <c r="G41" s="10">
        <v>1800</v>
      </c>
      <c r="H41" s="10">
        <f t="shared" si="6"/>
        <v>187.2</v>
      </c>
      <c r="I41" s="10">
        <v>55</v>
      </c>
      <c r="J41" s="10">
        <v>45</v>
      </c>
    </row>
    <row r="42" spans="1:10" x14ac:dyDescent="0.25">
      <c r="A42" s="2">
        <v>28</v>
      </c>
      <c r="B42" s="2" t="s">
        <v>9</v>
      </c>
      <c r="C42" s="2" t="s">
        <v>23</v>
      </c>
      <c r="D42" s="2" t="s">
        <v>21</v>
      </c>
      <c r="E42" s="2">
        <f t="shared" si="7"/>
        <v>112</v>
      </c>
      <c r="F42" s="2">
        <f t="shared" si="8"/>
        <v>126</v>
      </c>
      <c r="G42" s="10">
        <v>1800</v>
      </c>
      <c r="H42" s="10">
        <f t="shared" si="6"/>
        <v>201.6</v>
      </c>
      <c r="I42" s="10">
        <v>55</v>
      </c>
      <c r="J42" s="10">
        <v>45</v>
      </c>
    </row>
    <row r="43" spans="1:10" x14ac:dyDescent="0.25">
      <c r="A43" s="2">
        <v>30</v>
      </c>
      <c r="B43" s="2" t="s">
        <v>9</v>
      </c>
      <c r="C43" s="2" t="s">
        <v>23</v>
      </c>
      <c r="D43" s="2" t="s">
        <v>21</v>
      </c>
      <c r="E43" s="2">
        <f t="shared" si="7"/>
        <v>120</v>
      </c>
      <c r="F43" s="2">
        <f t="shared" si="8"/>
        <v>135</v>
      </c>
      <c r="G43" s="10">
        <v>1800</v>
      </c>
      <c r="H43" s="10">
        <f t="shared" si="6"/>
        <v>216</v>
      </c>
      <c r="I43" s="10">
        <v>55</v>
      </c>
      <c r="J43" s="10">
        <v>45</v>
      </c>
    </row>
    <row r="44" spans="1:10" x14ac:dyDescent="0.25">
      <c r="A44" s="2">
        <v>32</v>
      </c>
      <c r="B44" s="2" t="s">
        <v>9</v>
      </c>
      <c r="C44" s="2" t="s">
        <v>23</v>
      </c>
      <c r="D44" s="2" t="s">
        <v>21</v>
      </c>
      <c r="E44" s="2">
        <f t="shared" si="7"/>
        <v>128</v>
      </c>
      <c r="F44" s="2">
        <f t="shared" si="8"/>
        <v>144</v>
      </c>
      <c r="G44" s="10">
        <v>1700</v>
      </c>
      <c r="H44" s="10">
        <f t="shared" si="6"/>
        <v>217.6</v>
      </c>
      <c r="I44" s="10">
        <v>55</v>
      </c>
      <c r="J44" s="10">
        <v>45</v>
      </c>
    </row>
    <row r="45" spans="1:10" x14ac:dyDescent="0.25">
      <c r="A45" s="2">
        <v>34</v>
      </c>
      <c r="B45" s="2" t="s">
        <v>9</v>
      </c>
      <c r="C45" s="2" t="s">
        <v>23</v>
      </c>
      <c r="D45" s="2" t="s">
        <v>21</v>
      </c>
      <c r="E45" s="2">
        <f t="shared" si="7"/>
        <v>136</v>
      </c>
      <c r="F45" s="2">
        <f t="shared" si="8"/>
        <v>153</v>
      </c>
      <c r="G45" s="10">
        <v>1600</v>
      </c>
      <c r="H45" s="10">
        <f t="shared" si="6"/>
        <v>217.6</v>
      </c>
      <c r="I45" s="10">
        <v>55</v>
      </c>
      <c r="J45" s="10">
        <v>45</v>
      </c>
    </row>
    <row r="46" spans="1:10" x14ac:dyDescent="0.25">
      <c r="A46" s="2">
        <v>36</v>
      </c>
      <c r="B46" s="2" t="s">
        <v>9</v>
      </c>
      <c r="C46" s="2" t="s">
        <v>23</v>
      </c>
      <c r="D46" s="2" t="s">
        <v>21</v>
      </c>
      <c r="E46" s="2">
        <f t="shared" si="7"/>
        <v>144</v>
      </c>
      <c r="F46" s="2">
        <f t="shared" si="8"/>
        <v>162</v>
      </c>
      <c r="G46" s="10">
        <v>1600</v>
      </c>
      <c r="H46" s="10">
        <f t="shared" si="6"/>
        <v>230.4</v>
      </c>
      <c r="I46" s="10">
        <v>55</v>
      </c>
      <c r="J46" s="10">
        <v>45</v>
      </c>
    </row>
    <row r="47" spans="1:10" x14ac:dyDescent="0.25">
      <c r="A47" s="2"/>
      <c r="B47" s="2"/>
      <c r="C47" s="2"/>
      <c r="D47" s="2"/>
      <c r="E47" s="2"/>
      <c r="F47" s="2"/>
    </row>
    <row r="48" spans="1:10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9" t="s">
        <v>35</v>
      </c>
      <c r="H48" s="9" t="s">
        <v>36</v>
      </c>
      <c r="I48" s="5" t="s">
        <v>38</v>
      </c>
      <c r="J48" s="5" t="s">
        <v>39</v>
      </c>
    </row>
    <row r="49" spans="1:10" x14ac:dyDescent="0.25">
      <c r="A49" s="2">
        <v>12</v>
      </c>
      <c r="B49" s="2" t="s">
        <v>10</v>
      </c>
      <c r="C49" s="2" t="s">
        <v>19</v>
      </c>
      <c r="D49" s="2" t="s">
        <v>21</v>
      </c>
      <c r="E49" s="2">
        <f>+A49*4.5</f>
        <v>54</v>
      </c>
      <c r="F49" s="2">
        <f>+A49*5.1</f>
        <v>61.199999999999996</v>
      </c>
      <c r="G49" s="10">
        <v>2400</v>
      </c>
      <c r="H49" s="10">
        <f t="shared" ref="H49:H61" si="9">+E49*G49/1000</f>
        <v>129.6</v>
      </c>
      <c r="I49" s="10">
        <v>55</v>
      </c>
      <c r="J49" s="10">
        <v>45</v>
      </c>
    </row>
    <row r="50" spans="1:10" x14ac:dyDescent="0.25">
      <c r="A50" s="2">
        <v>15</v>
      </c>
      <c r="B50" s="2" t="s">
        <v>10</v>
      </c>
      <c r="C50" s="2" t="s">
        <v>19</v>
      </c>
      <c r="D50" s="2" t="s">
        <v>21</v>
      </c>
      <c r="E50" s="2">
        <f t="shared" ref="E50:E61" si="10">+A50*4.5</f>
        <v>67.5</v>
      </c>
      <c r="F50" s="2">
        <f t="shared" ref="F50:F61" si="11">+A50*5.1</f>
        <v>76.5</v>
      </c>
      <c r="G50" s="10">
        <v>2400</v>
      </c>
      <c r="H50" s="10">
        <f t="shared" si="9"/>
        <v>162</v>
      </c>
      <c r="I50" s="10">
        <v>55</v>
      </c>
      <c r="J50" s="10">
        <v>45</v>
      </c>
    </row>
    <row r="51" spans="1:10" x14ac:dyDescent="0.25">
      <c r="A51" s="2">
        <v>17</v>
      </c>
      <c r="B51" s="2" t="s">
        <v>10</v>
      </c>
      <c r="C51" s="2" t="s">
        <v>19</v>
      </c>
      <c r="D51" s="2" t="s">
        <v>21</v>
      </c>
      <c r="E51" s="2">
        <f t="shared" si="10"/>
        <v>76.5</v>
      </c>
      <c r="F51" s="2">
        <f t="shared" si="11"/>
        <v>86.699999999999989</v>
      </c>
      <c r="G51" s="10">
        <v>2350</v>
      </c>
      <c r="H51" s="10">
        <f t="shared" si="9"/>
        <v>179.77500000000001</v>
      </c>
      <c r="I51" s="10">
        <v>55</v>
      </c>
      <c r="J51" s="10">
        <v>45</v>
      </c>
    </row>
    <row r="52" spans="1:10" x14ac:dyDescent="0.25">
      <c r="A52" s="2">
        <v>19</v>
      </c>
      <c r="B52" s="2" t="s">
        <v>10</v>
      </c>
      <c r="C52" s="2" t="s">
        <v>19</v>
      </c>
      <c r="D52" s="2" t="s">
        <v>21</v>
      </c>
      <c r="E52" s="2">
        <f t="shared" si="10"/>
        <v>85.5</v>
      </c>
      <c r="F52" s="2">
        <f t="shared" si="11"/>
        <v>96.899999999999991</v>
      </c>
      <c r="G52" s="10">
        <v>2150</v>
      </c>
      <c r="H52" s="10">
        <f t="shared" si="9"/>
        <v>183.82499999999999</v>
      </c>
      <c r="I52" s="10">
        <v>55</v>
      </c>
      <c r="J52" s="10">
        <v>45</v>
      </c>
    </row>
    <row r="53" spans="1:10" x14ac:dyDescent="0.25">
      <c r="A53" s="2">
        <v>20</v>
      </c>
      <c r="B53" s="2" t="s">
        <v>10</v>
      </c>
      <c r="C53" s="2" t="s">
        <v>19</v>
      </c>
      <c r="D53" s="2" t="s">
        <v>21</v>
      </c>
      <c r="E53" s="2">
        <f t="shared" si="10"/>
        <v>90</v>
      </c>
      <c r="F53" s="2">
        <f t="shared" si="11"/>
        <v>102</v>
      </c>
      <c r="G53" s="10">
        <v>2100</v>
      </c>
      <c r="H53" s="10">
        <f t="shared" si="9"/>
        <v>189</v>
      </c>
      <c r="I53" s="10">
        <v>55</v>
      </c>
      <c r="J53" s="10">
        <v>45</v>
      </c>
    </row>
    <row r="54" spans="1:10" x14ac:dyDescent="0.25">
      <c r="A54" s="2">
        <v>22</v>
      </c>
      <c r="B54" s="2" t="s">
        <v>10</v>
      </c>
      <c r="C54" s="2" t="s">
        <v>19</v>
      </c>
      <c r="D54" s="2" t="s">
        <v>21</v>
      </c>
      <c r="E54" s="2">
        <f t="shared" si="10"/>
        <v>99</v>
      </c>
      <c r="F54" s="2">
        <f t="shared" si="11"/>
        <v>112.19999999999999</v>
      </c>
      <c r="G54" s="10">
        <v>2050</v>
      </c>
      <c r="H54" s="10">
        <f t="shared" si="9"/>
        <v>202.95</v>
      </c>
      <c r="I54" s="10">
        <v>55</v>
      </c>
      <c r="J54" s="10">
        <v>45</v>
      </c>
    </row>
    <row r="55" spans="1:10" x14ac:dyDescent="0.25">
      <c r="A55" s="2">
        <v>24</v>
      </c>
      <c r="B55" s="2" t="s">
        <v>10</v>
      </c>
      <c r="C55" s="2" t="s">
        <v>19</v>
      </c>
      <c r="D55" s="2" t="s">
        <v>21</v>
      </c>
      <c r="E55" s="2">
        <f t="shared" si="10"/>
        <v>108</v>
      </c>
      <c r="F55" s="2">
        <f t="shared" si="11"/>
        <v>122.39999999999999</v>
      </c>
      <c r="G55" s="10">
        <v>2000</v>
      </c>
      <c r="H55" s="10">
        <f t="shared" si="9"/>
        <v>216</v>
      </c>
      <c r="I55" s="10">
        <v>55</v>
      </c>
      <c r="J55" s="10">
        <v>45</v>
      </c>
    </row>
    <row r="56" spans="1:10" x14ac:dyDescent="0.25">
      <c r="A56" s="2">
        <v>26</v>
      </c>
      <c r="B56" s="2" t="s">
        <v>10</v>
      </c>
      <c r="C56" s="2" t="s">
        <v>19</v>
      </c>
      <c r="D56" s="2" t="s">
        <v>21</v>
      </c>
      <c r="E56" s="2">
        <f t="shared" si="10"/>
        <v>117</v>
      </c>
      <c r="F56" s="2">
        <f t="shared" si="11"/>
        <v>132.6</v>
      </c>
      <c r="G56" s="10">
        <v>1900</v>
      </c>
      <c r="H56" s="10">
        <f t="shared" si="9"/>
        <v>222.3</v>
      </c>
      <c r="I56" s="10">
        <v>55</v>
      </c>
      <c r="J56" s="10">
        <v>45</v>
      </c>
    </row>
    <row r="57" spans="1:10" x14ac:dyDescent="0.25">
      <c r="A57" s="2">
        <v>28</v>
      </c>
      <c r="B57" s="2" t="s">
        <v>10</v>
      </c>
      <c r="C57" s="2" t="s">
        <v>19</v>
      </c>
      <c r="D57" s="2" t="s">
        <v>21</v>
      </c>
      <c r="E57" s="2">
        <f t="shared" si="10"/>
        <v>126</v>
      </c>
      <c r="F57" s="2">
        <f t="shared" si="11"/>
        <v>142.79999999999998</v>
      </c>
      <c r="G57" s="10">
        <v>1800</v>
      </c>
      <c r="H57" s="10">
        <f t="shared" si="9"/>
        <v>226.8</v>
      </c>
      <c r="I57" s="10">
        <v>55</v>
      </c>
      <c r="J57" s="10">
        <v>45</v>
      </c>
    </row>
    <row r="58" spans="1:10" x14ac:dyDescent="0.25">
      <c r="A58" s="2">
        <v>30</v>
      </c>
      <c r="B58" s="2" t="s">
        <v>10</v>
      </c>
      <c r="C58" s="2" t="s">
        <v>19</v>
      </c>
      <c r="D58" s="2" t="s">
        <v>21</v>
      </c>
      <c r="E58" s="2">
        <f t="shared" si="10"/>
        <v>135</v>
      </c>
      <c r="F58" s="2">
        <f t="shared" si="11"/>
        <v>153</v>
      </c>
      <c r="G58" s="10">
        <v>1800</v>
      </c>
      <c r="H58" s="10">
        <f t="shared" si="9"/>
        <v>243</v>
      </c>
      <c r="I58" s="10">
        <v>55</v>
      </c>
      <c r="J58" s="10">
        <v>45</v>
      </c>
    </row>
    <row r="59" spans="1:10" x14ac:dyDescent="0.25">
      <c r="A59" s="2">
        <v>32</v>
      </c>
      <c r="B59" s="2" t="s">
        <v>10</v>
      </c>
      <c r="C59" s="2" t="s">
        <v>19</v>
      </c>
      <c r="D59" s="2" t="s">
        <v>21</v>
      </c>
      <c r="E59" s="2">
        <f t="shared" si="10"/>
        <v>144</v>
      </c>
      <c r="F59" s="2">
        <f t="shared" si="11"/>
        <v>163.19999999999999</v>
      </c>
      <c r="G59" s="10">
        <v>1650</v>
      </c>
      <c r="H59" s="10">
        <f t="shared" si="9"/>
        <v>237.6</v>
      </c>
      <c r="I59" s="10">
        <v>55</v>
      </c>
      <c r="J59" s="10">
        <v>45</v>
      </c>
    </row>
    <row r="60" spans="1:10" x14ac:dyDescent="0.25">
      <c r="A60" s="2">
        <v>34</v>
      </c>
      <c r="B60" s="2" t="s">
        <v>10</v>
      </c>
      <c r="C60" s="2" t="s">
        <v>19</v>
      </c>
      <c r="D60" s="2" t="s">
        <v>21</v>
      </c>
      <c r="E60" s="2">
        <f t="shared" si="10"/>
        <v>153</v>
      </c>
      <c r="F60" s="2">
        <f t="shared" si="11"/>
        <v>173.39999999999998</v>
      </c>
      <c r="G60" s="10">
        <v>1600</v>
      </c>
      <c r="H60" s="10">
        <f t="shared" si="9"/>
        <v>244.8</v>
      </c>
      <c r="I60" s="10">
        <v>55</v>
      </c>
      <c r="J60" s="10">
        <v>45</v>
      </c>
    </row>
    <row r="61" spans="1:10" x14ac:dyDescent="0.25">
      <c r="A61" s="2">
        <v>36</v>
      </c>
      <c r="B61" s="2" t="s">
        <v>10</v>
      </c>
      <c r="C61" s="2" t="s">
        <v>19</v>
      </c>
      <c r="D61" s="2" t="s">
        <v>21</v>
      </c>
      <c r="E61" s="2">
        <f t="shared" si="10"/>
        <v>162</v>
      </c>
      <c r="F61" s="2">
        <f t="shared" si="11"/>
        <v>183.6</v>
      </c>
      <c r="G61" s="10">
        <v>1500</v>
      </c>
      <c r="H61" s="10">
        <f t="shared" si="9"/>
        <v>243</v>
      </c>
      <c r="I61" s="10">
        <v>55</v>
      </c>
      <c r="J61" s="10">
        <v>45</v>
      </c>
    </row>
    <row r="62" spans="1:10" x14ac:dyDescent="0.25">
      <c r="A62" s="2"/>
      <c r="B62" s="2"/>
      <c r="C62" s="2"/>
      <c r="D62" s="2"/>
      <c r="E62" s="2"/>
      <c r="F62" s="2"/>
    </row>
    <row r="63" spans="1:10" x14ac:dyDescent="0.25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9" t="s">
        <v>35</v>
      </c>
      <c r="H63" s="9" t="s">
        <v>36</v>
      </c>
      <c r="I63" s="5" t="s">
        <v>38</v>
      </c>
      <c r="J63" s="5" t="s">
        <v>39</v>
      </c>
    </row>
    <row r="64" spans="1:10" x14ac:dyDescent="0.25">
      <c r="A64" s="2">
        <v>12</v>
      </c>
      <c r="B64" s="2" t="s">
        <v>11</v>
      </c>
      <c r="C64" s="2" t="s">
        <v>25</v>
      </c>
      <c r="D64" s="2" t="s">
        <v>21</v>
      </c>
      <c r="E64" s="2">
        <f>+A64*5</f>
        <v>60</v>
      </c>
      <c r="F64" s="2">
        <f>+A64*5.8</f>
        <v>69.599999999999994</v>
      </c>
      <c r="G64" s="10">
        <v>2200</v>
      </c>
      <c r="H64" s="10">
        <f t="shared" ref="H64:H76" si="12">+E64*G64/1000</f>
        <v>132</v>
      </c>
      <c r="I64" s="10">
        <v>55</v>
      </c>
      <c r="J64" s="10">
        <v>45</v>
      </c>
    </row>
    <row r="65" spans="1:10" x14ac:dyDescent="0.25">
      <c r="A65" s="2">
        <v>15</v>
      </c>
      <c r="B65" s="2" t="s">
        <v>11</v>
      </c>
      <c r="C65" s="2" t="s">
        <v>25</v>
      </c>
      <c r="D65" s="2" t="s">
        <v>21</v>
      </c>
      <c r="E65" s="2">
        <f t="shared" ref="E65:E76" si="13">+A65*5</f>
        <v>75</v>
      </c>
      <c r="F65" s="2">
        <f t="shared" ref="F65:F76" si="14">+A65*5.8</f>
        <v>87</v>
      </c>
      <c r="G65" s="10">
        <v>2100</v>
      </c>
      <c r="H65" s="10">
        <f t="shared" si="12"/>
        <v>157.5</v>
      </c>
      <c r="I65" s="10">
        <v>55</v>
      </c>
      <c r="J65" s="10">
        <v>45</v>
      </c>
    </row>
    <row r="66" spans="1:10" x14ac:dyDescent="0.25">
      <c r="A66" s="2">
        <v>17</v>
      </c>
      <c r="B66" s="2" t="s">
        <v>11</v>
      </c>
      <c r="C66" s="2" t="s">
        <v>25</v>
      </c>
      <c r="D66" s="2" t="s">
        <v>21</v>
      </c>
      <c r="E66" s="2">
        <f t="shared" si="13"/>
        <v>85</v>
      </c>
      <c r="F66" s="2">
        <f t="shared" si="14"/>
        <v>98.6</v>
      </c>
      <c r="G66" s="10">
        <v>2100</v>
      </c>
      <c r="H66" s="10">
        <f t="shared" si="12"/>
        <v>178.5</v>
      </c>
      <c r="I66" s="10">
        <v>55</v>
      </c>
      <c r="J66" s="10">
        <v>45</v>
      </c>
    </row>
    <row r="67" spans="1:10" x14ac:dyDescent="0.25">
      <c r="A67" s="2">
        <v>19</v>
      </c>
      <c r="B67" s="2" t="s">
        <v>11</v>
      </c>
      <c r="C67" s="2" t="s">
        <v>25</v>
      </c>
      <c r="D67" s="2" t="s">
        <v>21</v>
      </c>
      <c r="E67" s="2">
        <f t="shared" si="13"/>
        <v>95</v>
      </c>
      <c r="F67" s="2">
        <f t="shared" si="14"/>
        <v>110.2</v>
      </c>
      <c r="G67" s="10">
        <v>2000</v>
      </c>
      <c r="H67" s="10">
        <f t="shared" si="12"/>
        <v>190</v>
      </c>
      <c r="I67" s="10">
        <v>55</v>
      </c>
      <c r="J67" s="10">
        <v>45</v>
      </c>
    </row>
    <row r="68" spans="1:10" x14ac:dyDescent="0.25">
      <c r="A68" s="2">
        <v>20</v>
      </c>
      <c r="B68" s="2" t="s">
        <v>11</v>
      </c>
      <c r="C68" s="2" t="s">
        <v>25</v>
      </c>
      <c r="D68" s="2" t="s">
        <v>21</v>
      </c>
      <c r="E68" s="2">
        <f t="shared" si="13"/>
        <v>100</v>
      </c>
      <c r="F68" s="2">
        <f t="shared" si="14"/>
        <v>116</v>
      </c>
      <c r="G68" s="10">
        <v>2000</v>
      </c>
      <c r="H68" s="10">
        <f t="shared" si="12"/>
        <v>200</v>
      </c>
      <c r="I68" s="10">
        <v>55</v>
      </c>
      <c r="J68" s="10">
        <v>45</v>
      </c>
    </row>
    <row r="69" spans="1:10" x14ac:dyDescent="0.25">
      <c r="A69" s="2">
        <v>22</v>
      </c>
      <c r="B69" s="2" t="s">
        <v>11</v>
      </c>
      <c r="C69" s="2" t="s">
        <v>25</v>
      </c>
      <c r="D69" s="2" t="s">
        <v>21</v>
      </c>
      <c r="E69" s="2">
        <f t="shared" si="13"/>
        <v>110</v>
      </c>
      <c r="F69" s="2">
        <f t="shared" si="14"/>
        <v>127.6</v>
      </c>
      <c r="G69" s="10">
        <v>1900</v>
      </c>
      <c r="H69" s="10">
        <f t="shared" si="12"/>
        <v>209</v>
      </c>
      <c r="I69" s="10">
        <v>55</v>
      </c>
      <c r="J69" s="10">
        <v>45</v>
      </c>
    </row>
    <row r="70" spans="1:10" x14ac:dyDescent="0.25">
      <c r="A70" s="2">
        <v>24</v>
      </c>
      <c r="B70" s="2" t="s">
        <v>11</v>
      </c>
      <c r="C70" s="2" t="s">
        <v>25</v>
      </c>
      <c r="D70" s="2" t="s">
        <v>21</v>
      </c>
      <c r="E70" s="2">
        <f t="shared" si="13"/>
        <v>120</v>
      </c>
      <c r="F70" s="2">
        <f t="shared" si="14"/>
        <v>139.19999999999999</v>
      </c>
      <c r="G70" s="10">
        <v>1900</v>
      </c>
      <c r="H70" s="10">
        <f t="shared" si="12"/>
        <v>228</v>
      </c>
      <c r="I70" s="10">
        <v>55</v>
      </c>
      <c r="J70" s="10">
        <v>45</v>
      </c>
    </row>
    <row r="71" spans="1:10" x14ac:dyDescent="0.25">
      <c r="A71" s="2">
        <v>26</v>
      </c>
      <c r="B71" s="2" t="s">
        <v>11</v>
      </c>
      <c r="C71" s="2" t="s">
        <v>25</v>
      </c>
      <c r="D71" s="2" t="s">
        <v>21</v>
      </c>
      <c r="E71" s="2">
        <f t="shared" si="13"/>
        <v>130</v>
      </c>
      <c r="F71" s="2">
        <f t="shared" si="14"/>
        <v>150.79999999999998</v>
      </c>
      <c r="G71" s="10">
        <v>1800</v>
      </c>
      <c r="H71" s="10">
        <f t="shared" si="12"/>
        <v>234</v>
      </c>
      <c r="I71" s="10">
        <v>55</v>
      </c>
      <c r="J71" s="10">
        <v>45</v>
      </c>
    </row>
    <row r="72" spans="1:10" x14ac:dyDescent="0.25">
      <c r="A72" s="2">
        <v>28</v>
      </c>
      <c r="B72" s="2" t="s">
        <v>11</v>
      </c>
      <c r="C72" s="2" t="s">
        <v>25</v>
      </c>
      <c r="D72" s="2" t="s">
        <v>21</v>
      </c>
      <c r="E72" s="2">
        <f t="shared" si="13"/>
        <v>140</v>
      </c>
      <c r="F72" s="2">
        <f t="shared" si="14"/>
        <v>162.4</v>
      </c>
      <c r="G72" s="10">
        <v>1800</v>
      </c>
      <c r="H72" s="10">
        <f t="shared" si="12"/>
        <v>252</v>
      </c>
      <c r="I72" s="10">
        <v>55</v>
      </c>
      <c r="J72" s="10">
        <v>45</v>
      </c>
    </row>
    <row r="73" spans="1:10" x14ac:dyDescent="0.25">
      <c r="A73" s="2">
        <v>30</v>
      </c>
      <c r="B73" s="2" t="s">
        <v>11</v>
      </c>
      <c r="C73" s="2" t="s">
        <v>25</v>
      </c>
      <c r="D73" s="2" t="s">
        <v>21</v>
      </c>
      <c r="E73" s="2">
        <f t="shared" si="13"/>
        <v>150</v>
      </c>
      <c r="F73" s="2">
        <f t="shared" si="14"/>
        <v>174</v>
      </c>
      <c r="G73" s="10">
        <v>1700</v>
      </c>
      <c r="H73" s="10">
        <f t="shared" si="12"/>
        <v>255</v>
      </c>
      <c r="I73" s="10">
        <v>55</v>
      </c>
      <c r="J73" s="10">
        <v>45</v>
      </c>
    </row>
    <row r="74" spans="1:10" x14ac:dyDescent="0.25">
      <c r="A74" s="2">
        <v>32</v>
      </c>
      <c r="B74" s="2" t="s">
        <v>11</v>
      </c>
      <c r="C74" s="2" t="s">
        <v>25</v>
      </c>
      <c r="D74" s="2" t="s">
        <v>21</v>
      </c>
      <c r="E74" s="2">
        <f t="shared" si="13"/>
        <v>160</v>
      </c>
      <c r="F74" s="2">
        <f t="shared" si="14"/>
        <v>185.6</v>
      </c>
      <c r="G74" s="10">
        <v>1700</v>
      </c>
      <c r="H74" s="10">
        <f t="shared" si="12"/>
        <v>272</v>
      </c>
      <c r="I74" s="10">
        <v>55</v>
      </c>
      <c r="J74" s="10">
        <v>45</v>
      </c>
    </row>
    <row r="75" spans="1:10" x14ac:dyDescent="0.25">
      <c r="A75" s="2">
        <v>34</v>
      </c>
      <c r="B75" s="2" t="s">
        <v>11</v>
      </c>
      <c r="C75" s="2" t="s">
        <v>25</v>
      </c>
      <c r="D75" s="2" t="s">
        <v>21</v>
      </c>
      <c r="E75" s="2">
        <f t="shared" si="13"/>
        <v>170</v>
      </c>
      <c r="F75" s="2">
        <f t="shared" si="14"/>
        <v>197.2</v>
      </c>
      <c r="G75" s="10">
        <v>1600</v>
      </c>
      <c r="H75" s="10">
        <f t="shared" si="12"/>
        <v>272</v>
      </c>
      <c r="I75" s="10">
        <v>55</v>
      </c>
      <c r="J75" s="10">
        <v>45</v>
      </c>
    </row>
    <row r="76" spans="1:10" x14ac:dyDescent="0.25">
      <c r="A76" s="2">
        <v>36</v>
      </c>
      <c r="B76" s="2" t="s">
        <v>11</v>
      </c>
      <c r="C76" s="2" t="s">
        <v>25</v>
      </c>
      <c r="D76" s="2" t="s">
        <v>21</v>
      </c>
      <c r="E76" s="2">
        <f t="shared" si="13"/>
        <v>180</v>
      </c>
      <c r="F76" s="2">
        <f t="shared" si="14"/>
        <v>208.79999999999998</v>
      </c>
      <c r="G76" s="10">
        <v>1600</v>
      </c>
      <c r="H76" s="10">
        <f t="shared" si="12"/>
        <v>288</v>
      </c>
      <c r="I76" s="10">
        <v>55</v>
      </c>
      <c r="J76" s="10">
        <v>45</v>
      </c>
    </row>
  </sheetData>
  <mergeCells count="2">
    <mergeCell ref="G1:H1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742E-82E4-894F-8E48-E540545E5C5F}">
  <dimension ref="A1:N76"/>
  <sheetViews>
    <sheetView workbookViewId="0">
      <selection activeCell="I2" sqref="I2:J2"/>
    </sheetView>
  </sheetViews>
  <sheetFormatPr defaultColWidth="11.42578125" defaultRowHeight="15" x14ac:dyDescent="0.25"/>
  <cols>
    <col min="3" max="3" width="13.28515625" customWidth="1"/>
    <col min="4" max="4" width="12.7109375" customWidth="1"/>
    <col min="5" max="5" width="18.42578125" customWidth="1"/>
    <col min="6" max="6" width="19.28515625" customWidth="1"/>
    <col min="7" max="7" width="13.28515625" style="10" customWidth="1"/>
    <col min="8" max="8" width="12.7109375" style="10" customWidth="1"/>
    <col min="9" max="9" width="12.5703125" style="10" customWidth="1"/>
    <col min="10" max="10" width="11.42578125" style="10"/>
    <col min="11" max="11" width="13.28515625" style="10" customWidth="1"/>
    <col min="12" max="12" width="12.7109375" style="10" customWidth="1"/>
    <col min="13" max="13" width="12.5703125" style="10" customWidth="1"/>
    <col min="14" max="14" width="11.42578125" style="10"/>
  </cols>
  <sheetData>
    <row r="1" spans="1:14" x14ac:dyDescent="0.25">
      <c r="G1" s="11" t="s">
        <v>40</v>
      </c>
      <c r="H1" s="11"/>
    </row>
    <row r="2" spans="1:14" x14ac:dyDescent="0.25">
      <c r="G2" s="9" t="s">
        <v>37</v>
      </c>
      <c r="H2" s="9" t="s">
        <v>37</v>
      </c>
      <c r="I2" s="11" t="s">
        <v>47</v>
      </c>
      <c r="J2" s="11"/>
      <c r="K2" s="11"/>
      <c r="L2" s="11"/>
    </row>
    <row r="3" spans="1:14" s="8" customFormat="1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35</v>
      </c>
      <c r="H3" s="9" t="s">
        <v>36</v>
      </c>
      <c r="I3" s="9" t="s">
        <v>38</v>
      </c>
      <c r="J3" s="9" t="s">
        <v>39</v>
      </c>
      <c r="K3" s="9"/>
      <c r="L3" s="9"/>
      <c r="M3" s="5"/>
      <c r="N3" s="5"/>
    </row>
    <row r="4" spans="1:14" x14ac:dyDescent="0.25">
      <c r="A4" s="2">
        <v>12</v>
      </c>
      <c r="B4" s="3" t="s">
        <v>7</v>
      </c>
      <c r="C4" s="3" t="s">
        <v>16</v>
      </c>
      <c r="D4" s="3" t="s">
        <v>21</v>
      </c>
      <c r="E4" s="4">
        <f>+A4*3</f>
        <v>36</v>
      </c>
      <c r="F4" s="4">
        <f>+A4*3.5</f>
        <v>42</v>
      </c>
      <c r="G4" s="10">
        <v>2600</v>
      </c>
      <c r="H4" s="10">
        <f t="shared" ref="H4:H16" si="0">+E4*G4/1000</f>
        <v>93.6</v>
      </c>
      <c r="I4" s="10">
        <v>65</v>
      </c>
      <c r="J4" s="10">
        <v>35</v>
      </c>
      <c r="K4" s="9"/>
      <c r="L4" s="9"/>
      <c r="M4" s="5"/>
      <c r="N4" s="5"/>
    </row>
    <row r="5" spans="1:14" x14ac:dyDescent="0.25">
      <c r="A5" s="2">
        <v>15</v>
      </c>
      <c r="B5" s="3" t="s">
        <v>7</v>
      </c>
      <c r="C5" s="3" t="s">
        <v>16</v>
      </c>
      <c r="D5" s="3" t="s">
        <v>21</v>
      </c>
      <c r="E5" s="4">
        <f t="shared" ref="E5:E16" si="1">+A5*3</f>
        <v>45</v>
      </c>
      <c r="F5" s="4">
        <f t="shared" ref="F5:F16" si="2">+A5*3.5</f>
        <v>52.5</v>
      </c>
      <c r="G5" s="10">
        <v>2600</v>
      </c>
      <c r="H5" s="10">
        <f t="shared" si="0"/>
        <v>117</v>
      </c>
      <c r="I5" s="10">
        <v>65</v>
      </c>
      <c r="J5" s="10">
        <v>35</v>
      </c>
    </row>
    <row r="6" spans="1:14" x14ac:dyDescent="0.25">
      <c r="A6" s="2">
        <v>17</v>
      </c>
      <c r="B6" s="3" t="s">
        <v>7</v>
      </c>
      <c r="C6" s="3" t="s">
        <v>16</v>
      </c>
      <c r="D6" s="3" t="s">
        <v>21</v>
      </c>
      <c r="E6" s="4">
        <f t="shared" si="1"/>
        <v>51</v>
      </c>
      <c r="F6" s="4">
        <f t="shared" si="2"/>
        <v>59.5</v>
      </c>
      <c r="G6" s="10">
        <v>2600</v>
      </c>
      <c r="H6" s="10">
        <f t="shared" si="0"/>
        <v>132.6</v>
      </c>
      <c r="I6" s="10">
        <v>65</v>
      </c>
      <c r="J6" s="10">
        <v>35</v>
      </c>
    </row>
    <row r="7" spans="1:14" x14ac:dyDescent="0.25">
      <c r="A7" s="2">
        <v>19</v>
      </c>
      <c r="B7" s="3" t="s">
        <v>7</v>
      </c>
      <c r="C7" s="3" t="s">
        <v>16</v>
      </c>
      <c r="D7" s="3" t="s">
        <v>21</v>
      </c>
      <c r="E7" s="4">
        <f t="shared" si="1"/>
        <v>57</v>
      </c>
      <c r="F7" s="4">
        <f t="shared" si="2"/>
        <v>66.5</v>
      </c>
      <c r="G7" s="10">
        <v>2500</v>
      </c>
      <c r="H7" s="10">
        <f t="shared" si="0"/>
        <v>142.5</v>
      </c>
      <c r="I7" s="10">
        <v>65</v>
      </c>
      <c r="J7" s="10">
        <v>35</v>
      </c>
    </row>
    <row r="8" spans="1:14" x14ac:dyDescent="0.25">
      <c r="A8" s="2">
        <v>20</v>
      </c>
      <c r="B8" s="3" t="s">
        <v>7</v>
      </c>
      <c r="C8" s="3" t="s">
        <v>16</v>
      </c>
      <c r="D8" s="3" t="s">
        <v>21</v>
      </c>
      <c r="E8" s="4">
        <f t="shared" si="1"/>
        <v>60</v>
      </c>
      <c r="F8" s="4">
        <f t="shared" si="2"/>
        <v>70</v>
      </c>
      <c r="G8" s="10">
        <v>2500</v>
      </c>
      <c r="H8" s="10">
        <f t="shared" si="0"/>
        <v>150</v>
      </c>
      <c r="I8" s="10">
        <v>65</v>
      </c>
      <c r="J8" s="10">
        <v>35</v>
      </c>
    </row>
    <row r="9" spans="1:14" x14ac:dyDescent="0.25">
      <c r="A9" s="2">
        <v>22</v>
      </c>
      <c r="B9" s="3" t="s">
        <v>7</v>
      </c>
      <c r="C9" s="3" t="s">
        <v>16</v>
      </c>
      <c r="D9" s="3" t="s">
        <v>21</v>
      </c>
      <c r="E9" s="4">
        <f t="shared" si="1"/>
        <v>66</v>
      </c>
      <c r="F9" s="4">
        <f t="shared" si="2"/>
        <v>77</v>
      </c>
      <c r="G9" s="10">
        <v>2400</v>
      </c>
      <c r="H9" s="10">
        <f t="shared" si="0"/>
        <v>158.4</v>
      </c>
      <c r="I9" s="10">
        <v>65</v>
      </c>
      <c r="J9" s="10">
        <v>35</v>
      </c>
    </row>
    <row r="10" spans="1:14" x14ac:dyDescent="0.25">
      <c r="A10" s="2">
        <v>24</v>
      </c>
      <c r="B10" s="3" t="s">
        <v>7</v>
      </c>
      <c r="C10" s="3" t="s">
        <v>16</v>
      </c>
      <c r="D10" s="3" t="s">
        <v>21</v>
      </c>
      <c r="E10" s="4">
        <f t="shared" si="1"/>
        <v>72</v>
      </c>
      <c r="F10" s="4">
        <f t="shared" si="2"/>
        <v>84</v>
      </c>
      <c r="G10" s="10">
        <v>2200</v>
      </c>
      <c r="H10" s="10">
        <f t="shared" si="0"/>
        <v>158.4</v>
      </c>
      <c r="I10" s="10">
        <v>65</v>
      </c>
      <c r="J10" s="10">
        <v>35</v>
      </c>
    </row>
    <row r="11" spans="1:14" x14ac:dyDescent="0.25">
      <c r="A11" s="2">
        <v>26</v>
      </c>
      <c r="B11" s="3" t="s">
        <v>7</v>
      </c>
      <c r="C11" s="3" t="s">
        <v>16</v>
      </c>
      <c r="D11" s="3" t="s">
        <v>21</v>
      </c>
      <c r="E11" s="4">
        <f t="shared" si="1"/>
        <v>78</v>
      </c>
      <c r="F11" s="4">
        <f t="shared" si="2"/>
        <v>91</v>
      </c>
      <c r="G11" s="10">
        <v>2200</v>
      </c>
      <c r="H11" s="10">
        <f t="shared" si="0"/>
        <v>171.6</v>
      </c>
      <c r="I11" s="10">
        <v>65</v>
      </c>
      <c r="J11" s="10">
        <v>35</v>
      </c>
    </row>
    <row r="12" spans="1:14" x14ac:dyDescent="0.25">
      <c r="A12" s="2">
        <v>28</v>
      </c>
      <c r="B12" s="3" t="s">
        <v>7</v>
      </c>
      <c r="C12" s="3" t="s">
        <v>16</v>
      </c>
      <c r="D12" s="3" t="s">
        <v>21</v>
      </c>
      <c r="E12" s="4">
        <f t="shared" si="1"/>
        <v>84</v>
      </c>
      <c r="F12" s="4">
        <f t="shared" si="2"/>
        <v>98</v>
      </c>
      <c r="G12" s="10">
        <v>2000</v>
      </c>
      <c r="H12" s="10">
        <f t="shared" si="0"/>
        <v>168</v>
      </c>
      <c r="I12" s="10">
        <v>65</v>
      </c>
      <c r="J12" s="10">
        <v>35</v>
      </c>
    </row>
    <row r="13" spans="1:14" x14ac:dyDescent="0.25">
      <c r="A13" s="2">
        <v>30</v>
      </c>
      <c r="B13" s="3" t="s">
        <v>7</v>
      </c>
      <c r="C13" s="3" t="s">
        <v>16</v>
      </c>
      <c r="D13" s="3" t="s">
        <v>21</v>
      </c>
      <c r="E13" s="4">
        <f t="shared" si="1"/>
        <v>90</v>
      </c>
      <c r="F13" s="4">
        <f t="shared" si="2"/>
        <v>105</v>
      </c>
      <c r="G13" s="10">
        <v>2000</v>
      </c>
      <c r="H13" s="10">
        <f t="shared" si="0"/>
        <v>180</v>
      </c>
      <c r="I13" s="10">
        <v>65</v>
      </c>
      <c r="J13" s="10">
        <v>35</v>
      </c>
    </row>
    <row r="14" spans="1:14" x14ac:dyDescent="0.25">
      <c r="A14" s="2">
        <v>32</v>
      </c>
      <c r="B14" s="3" t="s">
        <v>7</v>
      </c>
      <c r="C14" s="3" t="s">
        <v>16</v>
      </c>
      <c r="D14" s="3" t="s">
        <v>21</v>
      </c>
      <c r="E14" s="4">
        <f t="shared" si="1"/>
        <v>96</v>
      </c>
      <c r="F14" s="4">
        <f t="shared" si="2"/>
        <v>112</v>
      </c>
      <c r="G14" s="10">
        <v>1900</v>
      </c>
      <c r="H14" s="10">
        <f t="shared" si="0"/>
        <v>182.4</v>
      </c>
      <c r="I14" s="10">
        <v>65</v>
      </c>
      <c r="J14" s="10">
        <v>35</v>
      </c>
    </row>
    <row r="15" spans="1:14" x14ac:dyDescent="0.25">
      <c r="A15" s="2">
        <v>34</v>
      </c>
      <c r="B15" s="3" t="s">
        <v>7</v>
      </c>
      <c r="C15" s="3" t="s">
        <v>16</v>
      </c>
      <c r="D15" s="3" t="s">
        <v>21</v>
      </c>
      <c r="E15" s="4">
        <f t="shared" si="1"/>
        <v>102</v>
      </c>
      <c r="F15" s="4">
        <f t="shared" si="2"/>
        <v>119</v>
      </c>
      <c r="G15" s="10">
        <v>1900</v>
      </c>
      <c r="H15" s="10">
        <f t="shared" si="0"/>
        <v>193.8</v>
      </c>
      <c r="I15" s="10">
        <v>65</v>
      </c>
      <c r="J15" s="10">
        <v>35</v>
      </c>
    </row>
    <row r="16" spans="1:14" x14ac:dyDescent="0.25">
      <c r="A16" s="2">
        <v>36</v>
      </c>
      <c r="B16" s="3" t="s">
        <v>7</v>
      </c>
      <c r="C16" s="3" t="s">
        <v>16</v>
      </c>
      <c r="D16" s="3" t="s">
        <v>21</v>
      </c>
      <c r="E16" s="4">
        <f t="shared" si="1"/>
        <v>108</v>
      </c>
      <c r="F16" s="4">
        <f t="shared" si="2"/>
        <v>126</v>
      </c>
      <c r="G16" s="10">
        <v>1800</v>
      </c>
      <c r="H16" s="10">
        <f t="shared" si="0"/>
        <v>194.4</v>
      </c>
      <c r="I16" s="10">
        <v>65</v>
      </c>
      <c r="J16" s="10">
        <v>35</v>
      </c>
    </row>
    <row r="17" spans="1:14" x14ac:dyDescent="0.25">
      <c r="A17" s="2"/>
      <c r="B17" s="3"/>
      <c r="C17" s="3"/>
      <c r="D17" s="3"/>
      <c r="E17" s="3"/>
      <c r="F17" s="3"/>
    </row>
    <row r="18" spans="1:14" s="8" customFormat="1" x14ac:dyDescent="0.25">
      <c r="A18" s="6" t="s">
        <v>1</v>
      </c>
      <c r="B18" s="7" t="s">
        <v>2</v>
      </c>
      <c r="C18" s="7" t="s">
        <v>3</v>
      </c>
      <c r="D18" s="7" t="s">
        <v>4</v>
      </c>
      <c r="E18" s="7" t="s">
        <v>5</v>
      </c>
      <c r="F18" s="7" t="s">
        <v>6</v>
      </c>
      <c r="G18" s="9" t="s">
        <v>35</v>
      </c>
      <c r="H18" s="9" t="s">
        <v>36</v>
      </c>
      <c r="I18" s="9" t="s">
        <v>38</v>
      </c>
      <c r="J18" s="9" t="s">
        <v>39</v>
      </c>
      <c r="K18" s="10"/>
      <c r="L18" s="10"/>
      <c r="M18" s="10"/>
      <c r="N18" s="10"/>
    </row>
    <row r="19" spans="1:14" x14ac:dyDescent="0.25">
      <c r="A19" s="2">
        <v>12</v>
      </c>
      <c r="B19" s="3" t="s">
        <v>8</v>
      </c>
      <c r="C19" s="3" t="s">
        <v>24</v>
      </c>
      <c r="D19" s="3" t="s">
        <v>21</v>
      </c>
      <c r="E19" s="4">
        <f>+A19*3.5</f>
        <v>42</v>
      </c>
      <c r="F19" s="4">
        <f>+A19*4</f>
        <v>48</v>
      </c>
      <c r="G19" s="10">
        <v>2600</v>
      </c>
      <c r="H19" s="10">
        <f t="shared" ref="H19:H31" si="3">+E19*G19/1000</f>
        <v>109.2</v>
      </c>
      <c r="I19" s="10">
        <v>65</v>
      </c>
      <c r="J19" s="10">
        <v>35</v>
      </c>
      <c r="K19" s="9"/>
      <c r="L19" s="9"/>
      <c r="M19" s="5"/>
      <c r="N19" s="5"/>
    </row>
    <row r="20" spans="1:14" x14ac:dyDescent="0.25">
      <c r="A20" s="2">
        <v>15</v>
      </c>
      <c r="B20" s="3" t="s">
        <v>8</v>
      </c>
      <c r="C20" s="3" t="s">
        <v>24</v>
      </c>
      <c r="D20" s="3" t="s">
        <v>21</v>
      </c>
      <c r="E20" s="4">
        <f t="shared" ref="E20:E31" si="4">+A20*3.5</f>
        <v>52.5</v>
      </c>
      <c r="F20" s="4">
        <f t="shared" ref="F20:F31" si="5">+A20*4</f>
        <v>60</v>
      </c>
      <c r="G20" s="10">
        <v>2600</v>
      </c>
      <c r="H20" s="10">
        <f t="shared" si="3"/>
        <v>136.5</v>
      </c>
      <c r="I20" s="10">
        <v>65</v>
      </c>
      <c r="J20" s="10">
        <v>35</v>
      </c>
    </row>
    <row r="21" spans="1:14" x14ac:dyDescent="0.25">
      <c r="A21" s="2">
        <v>17</v>
      </c>
      <c r="B21" s="3" t="s">
        <v>8</v>
      </c>
      <c r="C21" s="3" t="s">
        <v>24</v>
      </c>
      <c r="D21" s="3" t="s">
        <v>21</v>
      </c>
      <c r="E21" s="4">
        <f t="shared" si="4"/>
        <v>59.5</v>
      </c>
      <c r="F21" s="4">
        <f t="shared" si="5"/>
        <v>68</v>
      </c>
      <c r="G21" s="10">
        <v>2600</v>
      </c>
      <c r="H21" s="10">
        <f t="shared" si="3"/>
        <v>154.69999999999999</v>
      </c>
      <c r="I21" s="10">
        <v>65</v>
      </c>
      <c r="J21" s="10">
        <v>35</v>
      </c>
    </row>
    <row r="22" spans="1:14" x14ac:dyDescent="0.25">
      <c r="A22" s="2">
        <v>19</v>
      </c>
      <c r="B22" s="3" t="s">
        <v>8</v>
      </c>
      <c r="C22" s="3" t="s">
        <v>24</v>
      </c>
      <c r="D22" s="3" t="s">
        <v>21</v>
      </c>
      <c r="E22" s="4">
        <f t="shared" si="4"/>
        <v>66.5</v>
      </c>
      <c r="F22" s="4">
        <f t="shared" si="5"/>
        <v>76</v>
      </c>
      <c r="G22" s="10">
        <v>2500</v>
      </c>
      <c r="H22" s="10">
        <f t="shared" si="3"/>
        <v>166.25</v>
      </c>
      <c r="I22" s="10">
        <v>65</v>
      </c>
      <c r="J22" s="10">
        <v>35</v>
      </c>
    </row>
    <row r="23" spans="1:14" x14ac:dyDescent="0.25">
      <c r="A23" s="2">
        <v>20</v>
      </c>
      <c r="B23" s="3" t="s">
        <v>8</v>
      </c>
      <c r="C23" s="3" t="s">
        <v>24</v>
      </c>
      <c r="D23" s="3" t="s">
        <v>21</v>
      </c>
      <c r="E23" s="4">
        <f t="shared" si="4"/>
        <v>70</v>
      </c>
      <c r="F23" s="4">
        <f t="shared" si="5"/>
        <v>80</v>
      </c>
      <c r="G23" s="10">
        <v>2400</v>
      </c>
      <c r="H23" s="10">
        <f t="shared" si="3"/>
        <v>168</v>
      </c>
      <c r="I23" s="10">
        <v>65</v>
      </c>
      <c r="J23" s="10">
        <v>35</v>
      </c>
    </row>
    <row r="24" spans="1:14" x14ac:dyDescent="0.25">
      <c r="A24" s="2">
        <v>22</v>
      </c>
      <c r="B24" s="3" t="s">
        <v>8</v>
      </c>
      <c r="C24" s="3" t="s">
        <v>24</v>
      </c>
      <c r="D24" s="3" t="s">
        <v>21</v>
      </c>
      <c r="E24" s="4">
        <f t="shared" si="4"/>
        <v>77</v>
      </c>
      <c r="F24" s="4">
        <f t="shared" si="5"/>
        <v>88</v>
      </c>
      <c r="G24" s="10">
        <v>2200</v>
      </c>
      <c r="H24" s="10">
        <f t="shared" si="3"/>
        <v>169.4</v>
      </c>
      <c r="I24" s="10">
        <v>65</v>
      </c>
      <c r="J24" s="10">
        <v>35</v>
      </c>
    </row>
    <row r="25" spans="1:14" x14ac:dyDescent="0.25">
      <c r="A25" s="2">
        <v>24</v>
      </c>
      <c r="B25" s="3" t="s">
        <v>8</v>
      </c>
      <c r="C25" s="3" t="s">
        <v>24</v>
      </c>
      <c r="D25" s="3" t="s">
        <v>21</v>
      </c>
      <c r="E25" s="4">
        <f t="shared" si="4"/>
        <v>84</v>
      </c>
      <c r="F25" s="4">
        <f t="shared" si="5"/>
        <v>96</v>
      </c>
      <c r="G25" s="10">
        <v>2200</v>
      </c>
      <c r="H25" s="10">
        <f t="shared" si="3"/>
        <v>184.8</v>
      </c>
      <c r="I25" s="10">
        <v>65</v>
      </c>
      <c r="J25" s="10">
        <v>35</v>
      </c>
    </row>
    <row r="26" spans="1:14" x14ac:dyDescent="0.25">
      <c r="A26" s="2">
        <v>26</v>
      </c>
      <c r="B26" s="3" t="s">
        <v>8</v>
      </c>
      <c r="C26" s="3" t="s">
        <v>24</v>
      </c>
      <c r="D26" s="3" t="s">
        <v>21</v>
      </c>
      <c r="E26" s="4">
        <f t="shared" si="4"/>
        <v>91</v>
      </c>
      <c r="F26" s="4">
        <f t="shared" si="5"/>
        <v>104</v>
      </c>
      <c r="G26" s="10">
        <v>2200</v>
      </c>
      <c r="H26" s="10">
        <f t="shared" si="3"/>
        <v>200.2</v>
      </c>
      <c r="I26" s="10">
        <v>65</v>
      </c>
      <c r="J26" s="10">
        <v>35</v>
      </c>
    </row>
    <row r="27" spans="1:14" x14ac:dyDescent="0.25">
      <c r="A27" s="2">
        <v>28</v>
      </c>
      <c r="B27" s="3" t="s">
        <v>8</v>
      </c>
      <c r="C27" s="3" t="s">
        <v>24</v>
      </c>
      <c r="D27" s="3" t="s">
        <v>21</v>
      </c>
      <c r="E27" s="4">
        <f t="shared" si="4"/>
        <v>98</v>
      </c>
      <c r="F27" s="4">
        <f t="shared" si="5"/>
        <v>112</v>
      </c>
      <c r="G27" s="10">
        <v>2000</v>
      </c>
      <c r="H27" s="10">
        <f t="shared" si="3"/>
        <v>196</v>
      </c>
      <c r="I27" s="10">
        <v>65</v>
      </c>
      <c r="J27" s="10">
        <v>35</v>
      </c>
    </row>
    <row r="28" spans="1:14" x14ac:dyDescent="0.25">
      <c r="A28" s="2">
        <v>30</v>
      </c>
      <c r="B28" s="3" t="s">
        <v>8</v>
      </c>
      <c r="C28" s="3" t="s">
        <v>24</v>
      </c>
      <c r="D28" s="3" t="s">
        <v>21</v>
      </c>
      <c r="E28" s="4">
        <f t="shared" si="4"/>
        <v>105</v>
      </c>
      <c r="F28" s="4">
        <f t="shared" si="5"/>
        <v>120</v>
      </c>
      <c r="G28" s="10">
        <v>2000</v>
      </c>
      <c r="H28" s="10">
        <f t="shared" si="3"/>
        <v>210</v>
      </c>
      <c r="I28" s="10">
        <v>65</v>
      </c>
      <c r="J28" s="10">
        <v>35</v>
      </c>
    </row>
    <row r="29" spans="1:14" x14ac:dyDescent="0.25">
      <c r="A29" s="2">
        <v>32</v>
      </c>
      <c r="B29" s="3" t="s">
        <v>8</v>
      </c>
      <c r="C29" s="3" t="s">
        <v>24</v>
      </c>
      <c r="D29" s="3" t="s">
        <v>21</v>
      </c>
      <c r="E29" s="4">
        <f t="shared" si="4"/>
        <v>112</v>
      </c>
      <c r="F29" s="4">
        <f t="shared" si="5"/>
        <v>128</v>
      </c>
      <c r="G29" s="10">
        <v>1900</v>
      </c>
      <c r="H29" s="10">
        <f t="shared" si="3"/>
        <v>212.8</v>
      </c>
      <c r="I29" s="10">
        <v>65</v>
      </c>
      <c r="J29" s="10">
        <v>35</v>
      </c>
    </row>
    <row r="30" spans="1:14" x14ac:dyDescent="0.25">
      <c r="A30" s="2">
        <v>34</v>
      </c>
      <c r="B30" s="3" t="s">
        <v>8</v>
      </c>
      <c r="C30" s="3" t="s">
        <v>24</v>
      </c>
      <c r="D30" s="3" t="s">
        <v>21</v>
      </c>
      <c r="E30" s="4">
        <f t="shared" si="4"/>
        <v>119</v>
      </c>
      <c r="F30" s="4">
        <f t="shared" si="5"/>
        <v>136</v>
      </c>
      <c r="G30" s="10">
        <v>1900</v>
      </c>
      <c r="H30" s="10">
        <f t="shared" si="3"/>
        <v>226.1</v>
      </c>
      <c r="I30" s="10">
        <v>65</v>
      </c>
      <c r="J30" s="10">
        <v>35</v>
      </c>
    </row>
    <row r="31" spans="1:14" x14ac:dyDescent="0.25">
      <c r="A31" s="2">
        <v>36</v>
      </c>
      <c r="B31" s="3" t="s">
        <v>8</v>
      </c>
      <c r="C31" s="3" t="s">
        <v>24</v>
      </c>
      <c r="D31" s="3" t="s">
        <v>21</v>
      </c>
      <c r="E31" s="4">
        <f t="shared" si="4"/>
        <v>126</v>
      </c>
      <c r="F31" s="4">
        <f t="shared" si="5"/>
        <v>144</v>
      </c>
      <c r="G31" s="10">
        <v>1800</v>
      </c>
      <c r="H31" s="10">
        <f t="shared" si="3"/>
        <v>226.8</v>
      </c>
      <c r="I31" s="10">
        <v>65</v>
      </c>
      <c r="J31" s="10">
        <v>35</v>
      </c>
    </row>
    <row r="32" spans="1:14" x14ac:dyDescent="0.25">
      <c r="A32" s="2"/>
      <c r="B32" s="3"/>
      <c r="C32" s="3"/>
      <c r="D32" s="3"/>
      <c r="E32" s="3"/>
      <c r="F32" s="3"/>
    </row>
    <row r="33" spans="1:14" s="8" customFormat="1" x14ac:dyDescent="0.25">
      <c r="A33" s="6" t="s">
        <v>1</v>
      </c>
      <c r="B33" s="7" t="s">
        <v>2</v>
      </c>
      <c r="C33" s="7" t="s">
        <v>3</v>
      </c>
      <c r="D33" s="7" t="s">
        <v>4</v>
      </c>
      <c r="E33" s="7" t="s">
        <v>5</v>
      </c>
      <c r="F33" s="7" t="s">
        <v>6</v>
      </c>
      <c r="G33" s="9" t="s">
        <v>35</v>
      </c>
      <c r="H33" s="9" t="s">
        <v>36</v>
      </c>
      <c r="I33" s="5" t="s">
        <v>38</v>
      </c>
      <c r="J33" s="5" t="s">
        <v>39</v>
      </c>
      <c r="K33" s="10"/>
      <c r="L33" s="10"/>
      <c r="M33" s="10"/>
      <c r="N33" s="10"/>
    </row>
    <row r="34" spans="1:14" x14ac:dyDescent="0.25">
      <c r="A34" s="2">
        <v>12</v>
      </c>
      <c r="B34" s="3" t="s">
        <v>9</v>
      </c>
      <c r="C34" s="3" t="s">
        <v>26</v>
      </c>
      <c r="D34" s="3" t="s">
        <v>21</v>
      </c>
      <c r="E34" s="2">
        <f>+A34*4</f>
        <v>48</v>
      </c>
      <c r="F34" s="2">
        <f>+A34*4.5</f>
        <v>54</v>
      </c>
      <c r="G34" s="10">
        <v>2500</v>
      </c>
      <c r="H34" s="10">
        <f t="shared" ref="H34:H46" si="6">+E34*G34/1000</f>
        <v>120</v>
      </c>
      <c r="I34" s="10">
        <v>65</v>
      </c>
      <c r="J34" s="10">
        <v>35</v>
      </c>
      <c r="K34" s="9"/>
      <c r="L34" s="9"/>
      <c r="M34" s="5"/>
      <c r="N34" s="5"/>
    </row>
    <row r="35" spans="1:14" x14ac:dyDescent="0.25">
      <c r="A35" s="2">
        <v>15</v>
      </c>
      <c r="B35" s="3" t="s">
        <v>9</v>
      </c>
      <c r="C35" s="3" t="s">
        <v>26</v>
      </c>
      <c r="D35" s="3" t="s">
        <v>21</v>
      </c>
      <c r="E35" s="2">
        <f t="shared" ref="E35:E46" si="7">+A35*4</f>
        <v>60</v>
      </c>
      <c r="F35" s="2">
        <f t="shared" ref="F35:F46" si="8">+A35*4.5</f>
        <v>67.5</v>
      </c>
      <c r="G35" s="10">
        <v>2450</v>
      </c>
      <c r="H35" s="10">
        <f t="shared" si="6"/>
        <v>147</v>
      </c>
      <c r="I35" s="10">
        <v>65</v>
      </c>
      <c r="J35" s="10">
        <v>35</v>
      </c>
    </row>
    <row r="36" spans="1:14" x14ac:dyDescent="0.25">
      <c r="A36" s="2">
        <v>17</v>
      </c>
      <c r="B36" s="3" t="s">
        <v>9</v>
      </c>
      <c r="C36" s="3" t="s">
        <v>26</v>
      </c>
      <c r="D36" s="3" t="s">
        <v>21</v>
      </c>
      <c r="E36" s="2">
        <f t="shared" si="7"/>
        <v>68</v>
      </c>
      <c r="F36" s="2">
        <f t="shared" si="8"/>
        <v>76.5</v>
      </c>
      <c r="G36" s="10">
        <v>2450</v>
      </c>
      <c r="H36" s="10">
        <f t="shared" si="6"/>
        <v>166.6</v>
      </c>
      <c r="I36" s="10">
        <v>65</v>
      </c>
      <c r="J36" s="10">
        <v>35</v>
      </c>
    </row>
    <row r="37" spans="1:14" x14ac:dyDescent="0.25">
      <c r="A37" s="2">
        <v>19</v>
      </c>
      <c r="B37" s="3" t="s">
        <v>9</v>
      </c>
      <c r="C37" s="3" t="s">
        <v>26</v>
      </c>
      <c r="D37" s="3" t="s">
        <v>21</v>
      </c>
      <c r="E37" s="2">
        <f t="shared" si="7"/>
        <v>76</v>
      </c>
      <c r="F37" s="2">
        <f t="shared" si="8"/>
        <v>85.5</v>
      </c>
      <c r="G37" s="10">
        <v>2250</v>
      </c>
      <c r="H37" s="10">
        <f t="shared" si="6"/>
        <v>171</v>
      </c>
      <c r="I37" s="10">
        <v>65</v>
      </c>
      <c r="J37" s="10">
        <v>35</v>
      </c>
    </row>
    <row r="38" spans="1:14" x14ac:dyDescent="0.25">
      <c r="A38" s="2">
        <v>20</v>
      </c>
      <c r="B38" s="3" t="s">
        <v>9</v>
      </c>
      <c r="C38" s="3" t="s">
        <v>26</v>
      </c>
      <c r="D38" s="3" t="s">
        <v>21</v>
      </c>
      <c r="E38" s="2">
        <f t="shared" si="7"/>
        <v>80</v>
      </c>
      <c r="F38" s="2">
        <f t="shared" si="8"/>
        <v>90</v>
      </c>
      <c r="G38" s="10">
        <v>2200</v>
      </c>
      <c r="H38" s="10">
        <f t="shared" si="6"/>
        <v>176</v>
      </c>
      <c r="I38" s="10">
        <v>65</v>
      </c>
      <c r="J38" s="10">
        <v>35</v>
      </c>
    </row>
    <row r="39" spans="1:14" x14ac:dyDescent="0.25">
      <c r="A39" s="2">
        <v>22</v>
      </c>
      <c r="B39" s="3" t="s">
        <v>9</v>
      </c>
      <c r="C39" s="3" t="s">
        <v>26</v>
      </c>
      <c r="D39" s="3" t="s">
        <v>21</v>
      </c>
      <c r="E39" s="2">
        <f t="shared" si="7"/>
        <v>88</v>
      </c>
      <c r="F39" s="2">
        <f t="shared" si="8"/>
        <v>99</v>
      </c>
      <c r="G39" s="10">
        <v>2100</v>
      </c>
      <c r="H39" s="10">
        <f t="shared" si="6"/>
        <v>184.8</v>
      </c>
      <c r="I39" s="10">
        <v>65</v>
      </c>
      <c r="J39" s="10">
        <v>35</v>
      </c>
    </row>
    <row r="40" spans="1:14" x14ac:dyDescent="0.25">
      <c r="A40" s="2">
        <v>24</v>
      </c>
      <c r="B40" s="3" t="s">
        <v>9</v>
      </c>
      <c r="C40" s="3" t="s">
        <v>26</v>
      </c>
      <c r="D40" s="3" t="s">
        <v>21</v>
      </c>
      <c r="E40" s="2">
        <f t="shared" si="7"/>
        <v>96</v>
      </c>
      <c r="F40" s="2">
        <f t="shared" si="8"/>
        <v>108</v>
      </c>
      <c r="G40" s="10">
        <v>2200</v>
      </c>
      <c r="H40" s="10">
        <f t="shared" si="6"/>
        <v>211.2</v>
      </c>
      <c r="I40" s="10">
        <v>65</v>
      </c>
      <c r="J40" s="10">
        <v>35</v>
      </c>
    </row>
    <row r="41" spans="1:14" x14ac:dyDescent="0.25">
      <c r="A41" s="2">
        <v>26</v>
      </c>
      <c r="B41" s="3" t="s">
        <v>9</v>
      </c>
      <c r="C41" s="3" t="s">
        <v>26</v>
      </c>
      <c r="D41" s="3" t="s">
        <v>21</v>
      </c>
      <c r="E41" s="2">
        <f t="shared" si="7"/>
        <v>104</v>
      </c>
      <c r="F41" s="2">
        <f t="shared" si="8"/>
        <v>117</v>
      </c>
      <c r="G41" s="10">
        <v>2200</v>
      </c>
      <c r="H41" s="10">
        <f t="shared" si="6"/>
        <v>228.8</v>
      </c>
      <c r="I41" s="10">
        <v>65</v>
      </c>
      <c r="J41" s="10">
        <v>35</v>
      </c>
    </row>
    <row r="42" spans="1:14" x14ac:dyDescent="0.25">
      <c r="A42" s="2">
        <v>28</v>
      </c>
      <c r="B42" s="3" t="s">
        <v>9</v>
      </c>
      <c r="C42" s="3" t="s">
        <v>26</v>
      </c>
      <c r="D42" s="3" t="s">
        <v>21</v>
      </c>
      <c r="E42" s="2">
        <f t="shared" si="7"/>
        <v>112</v>
      </c>
      <c r="F42" s="2">
        <f t="shared" si="8"/>
        <v>126</v>
      </c>
      <c r="G42" s="10">
        <v>2000</v>
      </c>
      <c r="H42" s="10">
        <f t="shared" si="6"/>
        <v>224</v>
      </c>
      <c r="I42" s="10">
        <v>65</v>
      </c>
      <c r="J42" s="10">
        <v>35</v>
      </c>
    </row>
    <row r="43" spans="1:14" x14ac:dyDescent="0.25">
      <c r="A43" s="2">
        <v>30</v>
      </c>
      <c r="B43" s="3" t="s">
        <v>9</v>
      </c>
      <c r="C43" s="3" t="s">
        <v>26</v>
      </c>
      <c r="D43" s="3" t="s">
        <v>21</v>
      </c>
      <c r="E43" s="2">
        <f t="shared" si="7"/>
        <v>120</v>
      </c>
      <c r="F43" s="2">
        <f t="shared" si="8"/>
        <v>135</v>
      </c>
      <c r="G43" s="10">
        <v>1900</v>
      </c>
      <c r="H43" s="10">
        <f t="shared" si="6"/>
        <v>228</v>
      </c>
      <c r="I43" s="10">
        <v>65</v>
      </c>
      <c r="J43" s="10">
        <v>35</v>
      </c>
    </row>
    <row r="44" spans="1:14" x14ac:dyDescent="0.25">
      <c r="A44" s="2">
        <v>32</v>
      </c>
      <c r="B44" s="3" t="s">
        <v>9</v>
      </c>
      <c r="C44" s="3" t="s">
        <v>26</v>
      </c>
      <c r="D44" s="3" t="s">
        <v>21</v>
      </c>
      <c r="E44" s="2">
        <f t="shared" si="7"/>
        <v>128</v>
      </c>
      <c r="F44" s="2">
        <f t="shared" si="8"/>
        <v>144</v>
      </c>
      <c r="G44" s="10">
        <v>1800</v>
      </c>
      <c r="H44" s="10">
        <f t="shared" si="6"/>
        <v>230.4</v>
      </c>
      <c r="I44" s="10">
        <v>65</v>
      </c>
      <c r="J44" s="10">
        <v>35</v>
      </c>
    </row>
    <row r="45" spans="1:14" x14ac:dyDescent="0.25">
      <c r="A45" s="2">
        <v>34</v>
      </c>
      <c r="B45" s="3" t="s">
        <v>9</v>
      </c>
      <c r="C45" s="3" t="s">
        <v>26</v>
      </c>
      <c r="D45" s="3" t="s">
        <v>21</v>
      </c>
      <c r="E45" s="2">
        <f t="shared" si="7"/>
        <v>136</v>
      </c>
      <c r="F45" s="2">
        <f t="shared" si="8"/>
        <v>153</v>
      </c>
      <c r="G45" s="10">
        <v>1800</v>
      </c>
      <c r="H45" s="10">
        <f t="shared" si="6"/>
        <v>244.8</v>
      </c>
      <c r="I45" s="10">
        <v>65</v>
      </c>
      <c r="J45" s="10">
        <v>35</v>
      </c>
    </row>
    <row r="46" spans="1:14" x14ac:dyDescent="0.25">
      <c r="A46" s="2">
        <v>36</v>
      </c>
      <c r="B46" s="3" t="s">
        <v>9</v>
      </c>
      <c r="C46" s="3" t="s">
        <v>26</v>
      </c>
      <c r="D46" s="3" t="s">
        <v>21</v>
      </c>
      <c r="E46" s="2">
        <f t="shared" si="7"/>
        <v>144</v>
      </c>
      <c r="F46" s="2">
        <f t="shared" si="8"/>
        <v>162</v>
      </c>
      <c r="G46" s="10">
        <v>1700</v>
      </c>
      <c r="H46" s="10">
        <f t="shared" si="6"/>
        <v>244.8</v>
      </c>
      <c r="I46" s="10">
        <v>65</v>
      </c>
      <c r="J46" s="10">
        <v>35</v>
      </c>
    </row>
    <row r="47" spans="1:14" x14ac:dyDescent="0.25">
      <c r="A47" s="2"/>
      <c r="B47" s="3"/>
      <c r="C47" s="3"/>
      <c r="D47" s="3"/>
      <c r="E47" s="3"/>
      <c r="F47" s="3"/>
    </row>
    <row r="48" spans="1:14" s="8" customFormat="1" x14ac:dyDescent="0.25">
      <c r="A48" s="6" t="s">
        <v>1</v>
      </c>
      <c r="B48" s="7" t="s">
        <v>2</v>
      </c>
      <c r="C48" s="7" t="s">
        <v>3</v>
      </c>
      <c r="D48" s="7" t="s">
        <v>4</v>
      </c>
      <c r="E48" s="7" t="s">
        <v>5</v>
      </c>
      <c r="F48" s="7" t="s">
        <v>6</v>
      </c>
      <c r="G48" s="9" t="s">
        <v>35</v>
      </c>
      <c r="H48" s="9" t="s">
        <v>36</v>
      </c>
      <c r="I48" s="5" t="s">
        <v>38</v>
      </c>
      <c r="J48" s="5" t="s">
        <v>39</v>
      </c>
      <c r="K48" s="10"/>
      <c r="L48" s="10"/>
      <c r="M48" s="10"/>
      <c r="N48" s="10"/>
    </row>
    <row r="49" spans="1:14" x14ac:dyDescent="0.25">
      <c r="A49" s="2">
        <v>12</v>
      </c>
      <c r="B49" s="3" t="s">
        <v>10</v>
      </c>
      <c r="C49" s="3" t="s">
        <v>27</v>
      </c>
      <c r="D49" s="3" t="s">
        <v>21</v>
      </c>
      <c r="E49" s="2">
        <f>+A49*4.5</f>
        <v>54</v>
      </c>
      <c r="F49" s="2">
        <f>+A49*5.1</f>
        <v>61.199999999999996</v>
      </c>
      <c r="G49" s="10">
        <v>2400</v>
      </c>
      <c r="H49" s="10">
        <f t="shared" ref="H49:H61" si="9">+E49*G49/1000</f>
        <v>129.6</v>
      </c>
      <c r="I49" s="10">
        <v>65</v>
      </c>
      <c r="J49" s="10">
        <v>35</v>
      </c>
      <c r="K49" s="9"/>
      <c r="L49" s="9"/>
      <c r="M49" s="5"/>
      <c r="N49" s="5"/>
    </row>
    <row r="50" spans="1:14" x14ac:dyDescent="0.25">
      <c r="A50" s="2">
        <v>15</v>
      </c>
      <c r="B50" s="3" t="s">
        <v>10</v>
      </c>
      <c r="C50" s="3" t="s">
        <v>27</v>
      </c>
      <c r="D50" s="3" t="s">
        <v>21</v>
      </c>
      <c r="E50" s="2">
        <f t="shared" ref="E50:E61" si="10">+A50*4.5</f>
        <v>67.5</v>
      </c>
      <c r="F50" s="2">
        <f t="shared" ref="F50:F61" si="11">+A50*5.1</f>
        <v>76.5</v>
      </c>
      <c r="G50" s="10">
        <v>2400</v>
      </c>
      <c r="H50" s="10">
        <f t="shared" si="9"/>
        <v>162</v>
      </c>
      <c r="I50" s="10">
        <v>65</v>
      </c>
      <c r="J50" s="10">
        <v>35</v>
      </c>
    </row>
    <row r="51" spans="1:14" x14ac:dyDescent="0.25">
      <c r="A51" s="2">
        <v>17</v>
      </c>
      <c r="B51" s="3" t="s">
        <v>10</v>
      </c>
      <c r="C51" s="3" t="s">
        <v>27</v>
      </c>
      <c r="D51" s="3" t="s">
        <v>21</v>
      </c>
      <c r="E51" s="2">
        <f t="shared" si="10"/>
        <v>76.5</v>
      </c>
      <c r="F51" s="2">
        <f t="shared" si="11"/>
        <v>86.699999999999989</v>
      </c>
      <c r="G51" s="10">
        <v>2350</v>
      </c>
      <c r="H51" s="10">
        <f t="shared" si="9"/>
        <v>179.77500000000001</v>
      </c>
      <c r="I51" s="10">
        <v>65</v>
      </c>
      <c r="J51" s="10">
        <v>35</v>
      </c>
    </row>
    <row r="52" spans="1:14" x14ac:dyDescent="0.25">
      <c r="A52" s="2">
        <v>19</v>
      </c>
      <c r="B52" s="3" t="s">
        <v>10</v>
      </c>
      <c r="C52" s="3" t="s">
        <v>27</v>
      </c>
      <c r="D52" s="3" t="s">
        <v>21</v>
      </c>
      <c r="E52" s="2">
        <f t="shared" si="10"/>
        <v>85.5</v>
      </c>
      <c r="F52" s="2">
        <f t="shared" si="11"/>
        <v>96.899999999999991</v>
      </c>
      <c r="G52" s="10">
        <v>2150</v>
      </c>
      <c r="H52" s="10">
        <f t="shared" si="9"/>
        <v>183.82499999999999</v>
      </c>
      <c r="I52" s="10">
        <v>65</v>
      </c>
      <c r="J52" s="10">
        <v>35</v>
      </c>
    </row>
    <row r="53" spans="1:14" x14ac:dyDescent="0.25">
      <c r="A53" s="2">
        <v>20</v>
      </c>
      <c r="B53" s="3" t="s">
        <v>10</v>
      </c>
      <c r="C53" s="3" t="s">
        <v>27</v>
      </c>
      <c r="D53" s="3" t="s">
        <v>21</v>
      </c>
      <c r="E53" s="2">
        <f t="shared" si="10"/>
        <v>90</v>
      </c>
      <c r="F53" s="2">
        <f t="shared" si="11"/>
        <v>102</v>
      </c>
      <c r="G53" s="10">
        <v>2100</v>
      </c>
      <c r="H53" s="10">
        <f t="shared" si="9"/>
        <v>189</v>
      </c>
      <c r="I53" s="10">
        <v>65</v>
      </c>
      <c r="J53" s="10">
        <v>35</v>
      </c>
    </row>
    <row r="54" spans="1:14" x14ac:dyDescent="0.25">
      <c r="A54" s="2">
        <v>22</v>
      </c>
      <c r="B54" s="3" t="s">
        <v>10</v>
      </c>
      <c r="C54" s="3" t="s">
        <v>27</v>
      </c>
      <c r="D54" s="3" t="s">
        <v>21</v>
      </c>
      <c r="E54" s="2">
        <f t="shared" si="10"/>
        <v>99</v>
      </c>
      <c r="F54" s="2">
        <f t="shared" si="11"/>
        <v>112.19999999999999</v>
      </c>
      <c r="G54" s="10">
        <v>2050</v>
      </c>
      <c r="H54" s="10">
        <f t="shared" si="9"/>
        <v>202.95</v>
      </c>
      <c r="I54" s="10">
        <v>65</v>
      </c>
      <c r="J54" s="10">
        <v>35</v>
      </c>
    </row>
    <row r="55" spans="1:14" x14ac:dyDescent="0.25">
      <c r="A55" s="2">
        <v>24</v>
      </c>
      <c r="B55" s="3" t="s">
        <v>10</v>
      </c>
      <c r="C55" s="3" t="s">
        <v>27</v>
      </c>
      <c r="D55" s="3" t="s">
        <v>21</v>
      </c>
      <c r="E55" s="2">
        <f t="shared" si="10"/>
        <v>108</v>
      </c>
      <c r="F55" s="2">
        <f t="shared" si="11"/>
        <v>122.39999999999999</v>
      </c>
      <c r="G55" s="10">
        <v>2000</v>
      </c>
      <c r="H55" s="10">
        <f t="shared" si="9"/>
        <v>216</v>
      </c>
      <c r="I55" s="10">
        <v>65</v>
      </c>
      <c r="J55" s="10">
        <v>35</v>
      </c>
    </row>
    <row r="56" spans="1:14" x14ac:dyDescent="0.25">
      <c r="A56" s="2">
        <v>26</v>
      </c>
      <c r="B56" s="3" t="s">
        <v>10</v>
      </c>
      <c r="C56" s="3" t="s">
        <v>27</v>
      </c>
      <c r="D56" s="3" t="s">
        <v>21</v>
      </c>
      <c r="E56" s="2">
        <f t="shared" si="10"/>
        <v>117</v>
      </c>
      <c r="F56" s="2">
        <f t="shared" si="11"/>
        <v>132.6</v>
      </c>
      <c r="G56" s="10">
        <v>1900</v>
      </c>
      <c r="H56" s="10">
        <f t="shared" si="9"/>
        <v>222.3</v>
      </c>
      <c r="I56" s="10">
        <v>65</v>
      </c>
      <c r="J56" s="10">
        <v>35</v>
      </c>
    </row>
    <row r="57" spans="1:14" x14ac:dyDescent="0.25">
      <c r="A57" s="2">
        <v>28</v>
      </c>
      <c r="B57" s="3" t="s">
        <v>10</v>
      </c>
      <c r="C57" s="3" t="s">
        <v>27</v>
      </c>
      <c r="D57" s="3" t="s">
        <v>21</v>
      </c>
      <c r="E57" s="2">
        <f t="shared" si="10"/>
        <v>126</v>
      </c>
      <c r="F57" s="2">
        <f t="shared" si="11"/>
        <v>142.79999999999998</v>
      </c>
      <c r="G57" s="10">
        <v>2000</v>
      </c>
      <c r="H57" s="10">
        <f t="shared" si="9"/>
        <v>252</v>
      </c>
      <c r="I57" s="10">
        <v>65</v>
      </c>
      <c r="J57" s="10">
        <v>35</v>
      </c>
    </row>
    <row r="58" spans="1:14" x14ac:dyDescent="0.25">
      <c r="A58" s="2">
        <v>30</v>
      </c>
      <c r="B58" s="3" t="s">
        <v>10</v>
      </c>
      <c r="C58" s="3" t="s">
        <v>27</v>
      </c>
      <c r="D58" s="3" t="s">
        <v>21</v>
      </c>
      <c r="E58" s="2">
        <f t="shared" si="10"/>
        <v>135</v>
      </c>
      <c r="F58" s="2">
        <f t="shared" si="11"/>
        <v>153</v>
      </c>
      <c r="G58" s="10">
        <v>1900</v>
      </c>
      <c r="H58" s="10">
        <f t="shared" si="9"/>
        <v>256.5</v>
      </c>
      <c r="I58" s="10">
        <v>65</v>
      </c>
      <c r="J58" s="10">
        <v>35</v>
      </c>
    </row>
    <row r="59" spans="1:14" x14ac:dyDescent="0.25">
      <c r="A59" s="2">
        <v>32</v>
      </c>
      <c r="B59" s="3" t="s">
        <v>10</v>
      </c>
      <c r="C59" s="3" t="s">
        <v>27</v>
      </c>
      <c r="D59" s="3" t="s">
        <v>21</v>
      </c>
      <c r="E59" s="2">
        <f t="shared" si="10"/>
        <v>144</v>
      </c>
      <c r="F59" s="2">
        <f t="shared" si="11"/>
        <v>163.19999999999999</v>
      </c>
      <c r="G59" s="10">
        <v>1800</v>
      </c>
      <c r="H59" s="10">
        <f t="shared" si="9"/>
        <v>259.2</v>
      </c>
      <c r="I59" s="10">
        <v>65</v>
      </c>
      <c r="J59" s="10">
        <v>35</v>
      </c>
    </row>
    <row r="60" spans="1:14" x14ac:dyDescent="0.25">
      <c r="A60" s="2">
        <v>34</v>
      </c>
      <c r="B60" s="3" t="s">
        <v>10</v>
      </c>
      <c r="C60" s="3" t="s">
        <v>27</v>
      </c>
      <c r="D60" s="3" t="s">
        <v>21</v>
      </c>
      <c r="E60" s="2">
        <f t="shared" si="10"/>
        <v>153</v>
      </c>
      <c r="F60" s="2">
        <f t="shared" si="11"/>
        <v>173.39999999999998</v>
      </c>
      <c r="G60" s="10">
        <v>1800</v>
      </c>
      <c r="H60" s="10">
        <f t="shared" si="9"/>
        <v>275.39999999999998</v>
      </c>
      <c r="I60" s="10">
        <v>65</v>
      </c>
      <c r="J60" s="10">
        <v>35</v>
      </c>
    </row>
    <row r="61" spans="1:14" x14ac:dyDescent="0.25">
      <c r="A61" s="2">
        <v>36</v>
      </c>
      <c r="B61" s="3" t="s">
        <v>10</v>
      </c>
      <c r="C61" s="3" t="s">
        <v>27</v>
      </c>
      <c r="D61" s="3" t="s">
        <v>21</v>
      </c>
      <c r="E61" s="2">
        <f t="shared" si="10"/>
        <v>162</v>
      </c>
      <c r="F61" s="2">
        <f t="shared" si="11"/>
        <v>183.6</v>
      </c>
      <c r="G61" s="10">
        <v>1700</v>
      </c>
      <c r="H61" s="10">
        <f t="shared" si="9"/>
        <v>275.39999999999998</v>
      </c>
      <c r="I61" s="10">
        <v>65</v>
      </c>
      <c r="J61" s="10">
        <v>35</v>
      </c>
    </row>
    <row r="62" spans="1:14" x14ac:dyDescent="0.25">
      <c r="A62" s="2"/>
      <c r="B62" s="3"/>
      <c r="C62" s="3"/>
      <c r="D62" s="3"/>
      <c r="E62" s="3"/>
      <c r="F62" s="3"/>
    </row>
    <row r="63" spans="1:14" s="8" customFormat="1" x14ac:dyDescent="0.25">
      <c r="A63" s="6" t="s">
        <v>1</v>
      </c>
      <c r="B63" s="7" t="s">
        <v>2</v>
      </c>
      <c r="C63" s="7" t="s">
        <v>3</v>
      </c>
      <c r="D63" s="7" t="s">
        <v>4</v>
      </c>
      <c r="E63" s="7" t="s">
        <v>5</v>
      </c>
      <c r="F63" s="7" t="s">
        <v>6</v>
      </c>
      <c r="G63" s="9" t="s">
        <v>35</v>
      </c>
      <c r="H63" s="9" t="s">
        <v>36</v>
      </c>
      <c r="I63" s="5" t="s">
        <v>38</v>
      </c>
      <c r="J63" s="5" t="s">
        <v>39</v>
      </c>
      <c r="K63" s="10"/>
      <c r="L63" s="10"/>
      <c r="M63" s="10"/>
      <c r="N63" s="10"/>
    </row>
    <row r="64" spans="1:14" x14ac:dyDescent="0.25">
      <c r="A64" s="2">
        <v>12</v>
      </c>
      <c r="B64" s="3" t="s">
        <v>11</v>
      </c>
      <c r="C64" s="3" t="s">
        <v>28</v>
      </c>
      <c r="D64" s="3" t="s">
        <v>21</v>
      </c>
      <c r="E64" s="2">
        <f>+A64*5</f>
        <v>60</v>
      </c>
      <c r="F64" s="2">
        <f>+A64*5.8</f>
        <v>69.599999999999994</v>
      </c>
      <c r="G64" s="10">
        <v>2300</v>
      </c>
      <c r="H64" s="10">
        <f t="shared" ref="H64:H76" si="12">+E64*G64/1000</f>
        <v>138</v>
      </c>
      <c r="I64" s="10">
        <v>65</v>
      </c>
      <c r="J64" s="10">
        <v>35</v>
      </c>
      <c r="K64" s="9"/>
      <c r="L64" s="9"/>
      <c r="M64" s="5"/>
      <c r="N64" s="5"/>
    </row>
    <row r="65" spans="1:10" x14ac:dyDescent="0.25">
      <c r="A65" s="2">
        <v>15</v>
      </c>
      <c r="B65" s="3" t="s">
        <v>11</v>
      </c>
      <c r="C65" s="3" t="s">
        <v>28</v>
      </c>
      <c r="D65" s="3" t="s">
        <v>21</v>
      </c>
      <c r="E65" s="2">
        <f t="shared" ref="E65:E76" si="13">+A65*5</f>
        <v>75</v>
      </c>
      <c r="F65" s="2">
        <f t="shared" ref="F65:F76" si="14">+A65*5.8</f>
        <v>87</v>
      </c>
      <c r="G65" s="10">
        <v>2200</v>
      </c>
      <c r="H65" s="10">
        <f t="shared" si="12"/>
        <v>165</v>
      </c>
      <c r="I65" s="10">
        <v>65</v>
      </c>
      <c r="J65" s="10">
        <v>35</v>
      </c>
    </row>
    <row r="66" spans="1:10" x14ac:dyDescent="0.25">
      <c r="A66" s="2">
        <v>17</v>
      </c>
      <c r="B66" s="3" t="s">
        <v>11</v>
      </c>
      <c r="C66" s="3" t="s">
        <v>28</v>
      </c>
      <c r="D66" s="3" t="s">
        <v>21</v>
      </c>
      <c r="E66" s="2">
        <f t="shared" si="13"/>
        <v>85</v>
      </c>
      <c r="F66" s="2">
        <f t="shared" si="14"/>
        <v>98.6</v>
      </c>
      <c r="G66" s="10">
        <v>2200</v>
      </c>
      <c r="H66" s="10">
        <f t="shared" si="12"/>
        <v>187</v>
      </c>
      <c r="I66" s="10">
        <v>65</v>
      </c>
      <c r="J66" s="10">
        <v>35</v>
      </c>
    </row>
    <row r="67" spans="1:10" x14ac:dyDescent="0.25">
      <c r="A67" s="2">
        <v>19</v>
      </c>
      <c r="B67" s="3" t="s">
        <v>11</v>
      </c>
      <c r="C67" s="3" t="s">
        <v>28</v>
      </c>
      <c r="D67" s="3" t="s">
        <v>21</v>
      </c>
      <c r="E67" s="2">
        <f t="shared" si="13"/>
        <v>95</v>
      </c>
      <c r="F67" s="2">
        <f t="shared" si="14"/>
        <v>110.2</v>
      </c>
      <c r="G67" s="10">
        <v>2200</v>
      </c>
      <c r="H67" s="10">
        <f t="shared" si="12"/>
        <v>209</v>
      </c>
      <c r="I67" s="10">
        <v>65</v>
      </c>
      <c r="J67" s="10">
        <v>35</v>
      </c>
    </row>
    <row r="68" spans="1:10" x14ac:dyDescent="0.25">
      <c r="A68" s="2">
        <v>20</v>
      </c>
      <c r="B68" s="3" t="s">
        <v>11</v>
      </c>
      <c r="C68" s="3" t="s">
        <v>28</v>
      </c>
      <c r="D68" s="3" t="s">
        <v>21</v>
      </c>
      <c r="E68" s="2">
        <f t="shared" si="13"/>
        <v>100</v>
      </c>
      <c r="F68" s="2">
        <f t="shared" si="14"/>
        <v>116</v>
      </c>
      <c r="G68" s="10">
        <v>2100</v>
      </c>
      <c r="H68" s="10">
        <f t="shared" si="12"/>
        <v>210</v>
      </c>
      <c r="I68" s="10">
        <v>65</v>
      </c>
      <c r="J68" s="10">
        <v>35</v>
      </c>
    </row>
    <row r="69" spans="1:10" x14ac:dyDescent="0.25">
      <c r="A69" s="2">
        <v>22</v>
      </c>
      <c r="B69" s="3" t="s">
        <v>11</v>
      </c>
      <c r="C69" s="3" t="s">
        <v>28</v>
      </c>
      <c r="D69" s="3" t="s">
        <v>21</v>
      </c>
      <c r="E69" s="2">
        <f t="shared" si="13"/>
        <v>110</v>
      </c>
      <c r="F69" s="2">
        <f t="shared" si="14"/>
        <v>127.6</v>
      </c>
      <c r="G69" s="10">
        <v>2100</v>
      </c>
      <c r="H69" s="10">
        <f t="shared" si="12"/>
        <v>231</v>
      </c>
      <c r="I69" s="10">
        <v>65</v>
      </c>
      <c r="J69" s="10">
        <v>35</v>
      </c>
    </row>
    <row r="70" spans="1:10" x14ac:dyDescent="0.25">
      <c r="A70" s="2">
        <v>24</v>
      </c>
      <c r="B70" s="3" t="s">
        <v>11</v>
      </c>
      <c r="C70" s="3" t="s">
        <v>28</v>
      </c>
      <c r="D70" s="3" t="s">
        <v>21</v>
      </c>
      <c r="E70" s="2">
        <f t="shared" si="13"/>
        <v>120</v>
      </c>
      <c r="F70" s="2">
        <f t="shared" si="14"/>
        <v>139.19999999999999</v>
      </c>
      <c r="G70" s="10">
        <v>2000</v>
      </c>
      <c r="H70" s="10">
        <f t="shared" si="12"/>
        <v>240</v>
      </c>
      <c r="I70" s="10">
        <v>65</v>
      </c>
      <c r="J70" s="10">
        <v>35</v>
      </c>
    </row>
    <row r="71" spans="1:10" x14ac:dyDescent="0.25">
      <c r="A71" s="2">
        <v>26</v>
      </c>
      <c r="B71" s="3" t="s">
        <v>11</v>
      </c>
      <c r="C71" s="3" t="s">
        <v>28</v>
      </c>
      <c r="D71" s="3" t="s">
        <v>21</v>
      </c>
      <c r="E71" s="2">
        <f t="shared" si="13"/>
        <v>130</v>
      </c>
      <c r="F71" s="2">
        <f t="shared" si="14"/>
        <v>150.79999999999998</v>
      </c>
      <c r="G71" s="10">
        <v>1900</v>
      </c>
      <c r="H71" s="10">
        <f t="shared" si="12"/>
        <v>247</v>
      </c>
      <c r="I71" s="10">
        <v>65</v>
      </c>
      <c r="J71" s="10">
        <v>35</v>
      </c>
    </row>
    <row r="72" spans="1:10" x14ac:dyDescent="0.25">
      <c r="A72" s="2">
        <v>28</v>
      </c>
      <c r="B72" s="3" t="s">
        <v>11</v>
      </c>
      <c r="C72" s="3" t="s">
        <v>28</v>
      </c>
      <c r="D72" s="3" t="s">
        <v>21</v>
      </c>
      <c r="E72" s="2">
        <f t="shared" si="13"/>
        <v>140</v>
      </c>
      <c r="F72" s="2">
        <f t="shared" si="14"/>
        <v>162.4</v>
      </c>
      <c r="G72" s="10">
        <v>1800</v>
      </c>
      <c r="H72" s="10">
        <f t="shared" si="12"/>
        <v>252</v>
      </c>
      <c r="I72" s="10">
        <v>65</v>
      </c>
      <c r="J72" s="10">
        <v>35</v>
      </c>
    </row>
    <row r="73" spans="1:10" x14ac:dyDescent="0.25">
      <c r="A73" s="2">
        <v>30</v>
      </c>
      <c r="B73" s="3" t="s">
        <v>11</v>
      </c>
      <c r="C73" s="3" t="s">
        <v>28</v>
      </c>
      <c r="D73" s="3" t="s">
        <v>21</v>
      </c>
      <c r="E73" s="2">
        <f t="shared" si="13"/>
        <v>150</v>
      </c>
      <c r="F73" s="2">
        <f t="shared" si="14"/>
        <v>174</v>
      </c>
      <c r="G73" s="10">
        <v>1700</v>
      </c>
      <c r="H73" s="10">
        <f t="shared" si="12"/>
        <v>255</v>
      </c>
      <c r="I73" s="10">
        <v>65</v>
      </c>
      <c r="J73" s="10">
        <v>35</v>
      </c>
    </row>
    <row r="74" spans="1:10" x14ac:dyDescent="0.25">
      <c r="A74" s="2">
        <v>32</v>
      </c>
      <c r="B74" s="3" t="s">
        <v>11</v>
      </c>
      <c r="C74" s="3" t="s">
        <v>28</v>
      </c>
      <c r="D74" s="3" t="s">
        <v>21</v>
      </c>
      <c r="E74" s="2">
        <f t="shared" si="13"/>
        <v>160</v>
      </c>
      <c r="F74" s="2">
        <f t="shared" si="14"/>
        <v>185.6</v>
      </c>
      <c r="G74" s="10">
        <v>1700</v>
      </c>
      <c r="H74" s="10">
        <f t="shared" si="12"/>
        <v>272</v>
      </c>
      <c r="I74" s="10">
        <v>65</v>
      </c>
      <c r="J74" s="10">
        <v>35</v>
      </c>
    </row>
    <row r="75" spans="1:10" x14ac:dyDescent="0.25">
      <c r="A75" s="2">
        <v>34</v>
      </c>
      <c r="B75" s="3" t="s">
        <v>11</v>
      </c>
      <c r="C75" s="3" t="s">
        <v>28</v>
      </c>
      <c r="D75" s="3" t="s">
        <v>21</v>
      </c>
      <c r="E75" s="2">
        <f t="shared" si="13"/>
        <v>170</v>
      </c>
      <c r="F75" s="2">
        <f t="shared" si="14"/>
        <v>197.2</v>
      </c>
      <c r="G75" s="10">
        <v>1600</v>
      </c>
      <c r="H75" s="10">
        <f t="shared" si="12"/>
        <v>272</v>
      </c>
      <c r="I75" s="10">
        <v>65</v>
      </c>
      <c r="J75" s="10">
        <v>35</v>
      </c>
    </row>
    <row r="76" spans="1:10" x14ac:dyDescent="0.25">
      <c r="A76" s="2">
        <v>36</v>
      </c>
      <c r="B76" s="3" t="s">
        <v>11</v>
      </c>
      <c r="C76" s="3" t="s">
        <v>28</v>
      </c>
      <c r="D76" s="3" t="s">
        <v>21</v>
      </c>
      <c r="E76" s="2">
        <f t="shared" si="13"/>
        <v>180</v>
      </c>
      <c r="F76" s="2">
        <f t="shared" si="14"/>
        <v>208.79999999999998</v>
      </c>
      <c r="G76" s="10">
        <v>1600</v>
      </c>
      <c r="H76" s="10">
        <f t="shared" si="12"/>
        <v>288</v>
      </c>
      <c r="I76" s="10">
        <v>65</v>
      </c>
      <c r="J76" s="10">
        <v>35</v>
      </c>
    </row>
  </sheetData>
  <mergeCells count="3">
    <mergeCell ref="K2:L2"/>
    <mergeCell ref="G1:H1"/>
    <mergeCell ref="I2:J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A4AA-A20E-EE41-BBCA-52FEB70E7700}">
  <dimension ref="A1:J76"/>
  <sheetViews>
    <sheetView workbookViewId="0">
      <selection activeCell="I2" sqref="I2:J2"/>
    </sheetView>
  </sheetViews>
  <sheetFormatPr defaultColWidth="11.42578125" defaultRowHeight="15" x14ac:dyDescent="0.25"/>
  <cols>
    <col min="1" max="2" width="11.42578125" style="1"/>
    <col min="3" max="3" width="13.28515625" style="1" customWidth="1"/>
    <col min="4" max="4" width="13.140625" style="1" customWidth="1"/>
    <col min="5" max="5" width="17.28515625" customWidth="1"/>
    <col min="6" max="6" width="18.5703125" customWidth="1"/>
    <col min="7" max="7" width="13.28515625" style="10" customWidth="1"/>
    <col min="8" max="8" width="12.7109375" style="10" customWidth="1"/>
    <col min="9" max="9" width="12.5703125" style="10" customWidth="1"/>
    <col min="10" max="10" width="11.42578125" style="10"/>
    <col min="11" max="16384" width="11.42578125" style="1"/>
  </cols>
  <sheetData>
    <row r="1" spans="1:10" s="10" customFormat="1" x14ac:dyDescent="0.25">
      <c r="E1"/>
      <c r="F1"/>
      <c r="G1" s="11" t="s">
        <v>40</v>
      </c>
      <c r="H1" s="11"/>
    </row>
    <row r="2" spans="1:10" s="10" customFormat="1" x14ac:dyDescent="0.25">
      <c r="E2"/>
      <c r="F2"/>
      <c r="G2" s="9" t="s">
        <v>37</v>
      </c>
      <c r="H2" s="9" t="s">
        <v>37</v>
      </c>
      <c r="I2" s="11" t="s">
        <v>47</v>
      </c>
      <c r="J2" s="11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9" t="s">
        <v>35</v>
      </c>
      <c r="H3" s="9" t="s">
        <v>36</v>
      </c>
      <c r="I3" s="9" t="s">
        <v>38</v>
      </c>
      <c r="J3" s="9" t="s">
        <v>39</v>
      </c>
    </row>
    <row r="4" spans="1:10" x14ac:dyDescent="0.25">
      <c r="A4" s="2">
        <v>12</v>
      </c>
      <c r="B4" s="2" t="s">
        <v>7</v>
      </c>
      <c r="C4" s="2" t="s">
        <v>29</v>
      </c>
      <c r="D4" s="2" t="s">
        <v>30</v>
      </c>
      <c r="E4" s="4">
        <f>+A4*3</f>
        <v>36</v>
      </c>
      <c r="F4" s="4">
        <f>+A4*3.5</f>
        <v>42</v>
      </c>
      <c r="G4" s="10">
        <v>2600</v>
      </c>
      <c r="H4" s="10">
        <f t="shared" ref="H4:H16" si="0">+E4*G4/1000</f>
        <v>93.6</v>
      </c>
      <c r="I4" s="10">
        <v>75</v>
      </c>
      <c r="J4" s="10">
        <v>25</v>
      </c>
    </row>
    <row r="5" spans="1:10" x14ac:dyDescent="0.25">
      <c r="A5" s="2">
        <v>15</v>
      </c>
      <c r="B5" s="2" t="s">
        <v>7</v>
      </c>
      <c r="C5" s="2" t="s">
        <v>29</v>
      </c>
      <c r="D5" s="2" t="s">
        <v>30</v>
      </c>
      <c r="E5" s="4">
        <f t="shared" ref="E5:E16" si="1">+A5*3</f>
        <v>45</v>
      </c>
      <c r="F5" s="4">
        <f t="shared" ref="F5:F16" si="2">+A5*3.5</f>
        <v>52.5</v>
      </c>
      <c r="G5" s="10">
        <v>2600</v>
      </c>
      <c r="H5" s="10">
        <f t="shared" si="0"/>
        <v>117</v>
      </c>
      <c r="I5" s="10">
        <v>75</v>
      </c>
      <c r="J5" s="10">
        <v>25</v>
      </c>
    </row>
    <row r="6" spans="1:10" x14ac:dyDescent="0.25">
      <c r="A6" s="2">
        <v>17</v>
      </c>
      <c r="B6" s="2" t="s">
        <v>7</v>
      </c>
      <c r="C6" s="2" t="s">
        <v>29</v>
      </c>
      <c r="D6" s="2" t="s">
        <v>30</v>
      </c>
      <c r="E6" s="4">
        <f t="shared" si="1"/>
        <v>51</v>
      </c>
      <c r="F6" s="4">
        <f>+A6*3.5</f>
        <v>59.5</v>
      </c>
      <c r="G6" s="10">
        <v>2600</v>
      </c>
      <c r="H6" s="10">
        <f t="shared" si="0"/>
        <v>132.6</v>
      </c>
      <c r="I6" s="10">
        <v>75</v>
      </c>
      <c r="J6" s="10">
        <v>25</v>
      </c>
    </row>
    <row r="7" spans="1:10" x14ac:dyDescent="0.25">
      <c r="A7" s="2">
        <v>19</v>
      </c>
      <c r="B7" s="2" t="s">
        <v>7</v>
      </c>
      <c r="C7" s="2" t="s">
        <v>29</v>
      </c>
      <c r="D7" s="2" t="s">
        <v>30</v>
      </c>
      <c r="E7" s="4">
        <f t="shared" si="1"/>
        <v>57</v>
      </c>
      <c r="F7" s="4">
        <f t="shared" si="2"/>
        <v>66.5</v>
      </c>
      <c r="G7" s="10">
        <v>2500</v>
      </c>
      <c r="H7" s="10">
        <f t="shared" si="0"/>
        <v>142.5</v>
      </c>
      <c r="I7" s="10">
        <v>75</v>
      </c>
      <c r="J7" s="10">
        <v>25</v>
      </c>
    </row>
    <row r="8" spans="1:10" x14ac:dyDescent="0.25">
      <c r="A8" s="2">
        <v>20</v>
      </c>
      <c r="B8" s="2" t="s">
        <v>7</v>
      </c>
      <c r="C8" s="2" t="s">
        <v>29</v>
      </c>
      <c r="D8" s="2" t="s">
        <v>30</v>
      </c>
      <c r="E8" s="4">
        <f t="shared" si="1"/>
        <v>60</v>
      </c>
      <c r="F8" s="4">
        <f t="shared" si="2"/>
        <v>70</v>
      </c>
      <c r="G8" s="10">
        <v>2500</v>
      </c>
      <c r="H8" s="10">
        <f t="shared" si="0"/>
        <v>150</v>
      </c>
      <c r="I8" s="10">
        <v>75</v>
      </c>
      <c r="J8" s="10">
        <v>25</v>
      </c>
    </row>
    <row r="9" spans="1:10" x14ac:dyDescent="0.25">
      <c r="A9" s="2">
        <v>22</v>
      </c>
      <c r="B9" s="2" t="s">
        <v>7</v>
      </c>
      <c r="C9" s="2" t="s">
        <v>29</v>
      </c>
      <c r="D9" s="2" t="s">
        <v>30</v>
      </c>
      <c r="E9" s="4">
        <f t="shared" si="1"/>
        <v>66</v>
      </c>
      <c r="F9" s="4">
        <f t="shared" si="2"/>
        <v>77</v>
      </c>
      <c r="G9" s="10">
        <v>2400</v>
      </c>
      <c r="H9" s="10">
        <f t="shared" si="0"/>
        <v>158.4</v>
      </c>
      <c r="I9" s="10">
        <v>75</v>
      </c>
      <c r="J9" s="10">
        <v>25</v>
      </c>
    </row>
    <row r="10" spans="1:10" x14ac:dyDescent="0.25">
      <c r="A10" s="2">
        <v>24</v>
      </c>
      <c r="B10" s="2" t="s">
        <v>7</v>
      </c>
      <c r="C10" s="2" t="s">
        <v>29</v>
      </c>
      <c r="D10" s="2" t="s">
        <v>30</v>
      </c>
      <c r="E10" s="4">
        <f t="shared" si="1"/>
        <v>72</v>
      </c>
      <c r="F10" s="4">
        <f t="shared" si="2"/>
        <v>84</v>
      </c>
      <c r="G10" s="10">
        <v>2200</v>
      </c>
      <c r="H10" s="10">
        <f t="shared" si="0"/>
        <v>158.4</v>
      </c>
      <c r="I10" s="10">
        <v>75</v>
      </c>
      <c r="J10" s="10">
        <v>25</v>
      </c>
    </row>
    <row r="11" spans="1:10" x14ac:dyDescent="0.25">
      <c r="A11" s="2">
        <v>26</v>
      </c>
      <c r="B11" s="2" t="s">
        <v>7</v>
      </c>
      <c r="C11" s="2" t="s">
        <v>29</v>
      </c>
      <c r="D11" s="2" t="s">
        <v>30</v>
      </c>
      <c r="E11" s="4">
        <f t="shared" si="1"/>
        <v>78</v>
      </c>
      <c r="F11" s="4">
        <f t="shared" si="2"/>
        <v>91</v>
      </c>
      <c r="G11" s="10">
        <v>2200</v>
      </c>
      <c r="H11" s="10">
        <f t="shared" si="0"/>
        <v>171.6</v>
      </c>
      <c r="I11" s="10">
        <v>75</v>
      </c>
      <c r="J11" s="10">
        <v>25</v>
      </c>
    </row>
    <row r="12" spans="1:10" x14ac:dyDescent="0.25">
      <c r="A12" s="2">
        <v>28</v>
      </c>
      <c r="B12" s="2" t="s">
        <v>7</v>
      </c>
      <c r="C12" s="2" t="s">
        <v>29</v>
      </c>
      <c r="D12" s="2" t="s">
        <v>30</v>
      </c>
      <c r="E12" s="4">
        <f t="shared" si="1"/>
        <v>84</v>
      </c>
      <c r="F12" s="4">
        <f t="shared" si="2"/>
        <v>98</v>
      </c>
      <c r="G12" s="10">
        <v>2000</v>
      </c>
      <c r="H12" s="10">
        <f t="shared" si="0"/>
        <v>168</v>
      </c>
      <c r="I12" s="10">
        <v>75</v>
      </c>
      <c r="J12" s="10">
        <v>25</v>
      </c>
    </row>
    <row r="13" spans="1:10" x14ac:dyDescent="0.25">
      <c r="A13" s="2">
        <v>30</v>
      </c>
      <c r="B13" s="2" t="s">
        <v>7</v>
      </c>
      <c r="C13" s="2" t="s">
        <v>29</v>
      </c>
      <c r="D13" s="2" t="s">
        <v>30</v>
      </c>
      <c r="E13" s="4">
        <f t="shared" si="1"/>
        <v>90</v>
      </c>
      <c r="F13" s="4">
        <f t="shared" si="2"/>
        <v>105</v>
      </c>
      <c r="G13" s="10">
        <v>2000</v>
      </c>
      <c r="H13" s="10">
        <f t="shared" si="0"/>
        <v>180</v>
      </c>
      <c r="I13" s="10">
        <v>75</v>
      </c>
      <c r="J13" s="10">
        <v>25</v>
      </c>
    </row>
    <row r="14" spans="1:10" x14ac:dyDescent="0.25">
      <c r="A14" s="2">
        <v>32</v>
      </c>
      <c r="B14" s="2" t="s">
        <v>7</v>
      </c>
      <c r="C14" s="2" t="s">
        <v>29</v>
      </c>
      <c r="D14" s="2" t="s">
        <v>30</v>
      </c>
      <c r="E14" s="4">
        <f t="shared" si="1"/>
        <v>96</v>
      </c>
      <c r="F14" s="4">
        <f t="shared" si="2"/>
        <v>112</v>
      </c>
      <c r="G14" s="10">
        <v>1900</v>
      </c>
      <c r="H14" s="10">
        <f t="shared" si="0"/>
        <v>182.4</v>
      </c>
      <c r="I14" s="10">
        <v>75</v>
      </c>
      <c r="J14" s="10">
        <v>25</v>
      </c>
    </row>
    <row r="15" spans="1:10" x14ac:dyDescent="0.25">
      <c r="A15" s="2">
        <v>34</v>
      </c>
      <c r="B15" s="2" t="s">
        <v>7</v>
      </c>
      <c r="C15" s="2" t="s">
        <v>29</v>
      </c>
      <c r="D15" s="2" t="s">
        <v>30</v>
      </c>
      <c r="E15" s="4">
        <f t="shared" si="1"/>
        <v>102</v>
      </c>
      <c r="F15" s="4">
        <f t="shared" si="2"/>
        <v>119</v>
      </c>
      <c r="G15" s="10">
        <v>1900</v>
      </c>
      <c r="H15" s="10">
        <f t="shared" si="0"/>
        <v>193.8</v>
      </c>
      <c r="I15" s="10">
        <v>75</v>
      </c>
      <c r="J15" s="10">
        <v>25</v>
      </c>
    </row>
    <row r="16" spans="1:10" x14ac:dyDescent="0.25">
      <c r="A16" s="2">
        <v>36</v>
      </c>
      <c r="B16" s="2" t="s">
        <v>7</v>
      </c>
      <c r="C16" s="2" t="s">
        <v>29</v>
      </c>
      <c r="D16" s="2" t="s">
        <v>30</v>
      </c>
      <c r="E16" s="4">
        <f t="shared" si="1"/>
        <v>108</v>
      </c>
      <c r="F16" s="4">
        <f t="shared" si="2"/>
        <v>126</v>
      </c>
      <c r="G16" s="10">
        <v>1800</v>
      </c>
      <c r="H16" s="10">
        <f t="shared" si="0"/>
        <v>194.4</v>
      </c>
      <c r="I16" s="10">
        <v>75</v>
      </c>
      <c r="J16" s="10">
        <v>25</v>
      </c>
    </row>
    <row r="17" spans="1:10" x14ac:dyDescent="0.25">
      <c r="A17" s="2"/>
      <c r="B17" s="2"/>
      <c r="C17" s="2"/>
      <c r="D17" s="2"/>
      <c r="E17" s="3"/>
      <c r="F17" s="3"/>
    </row>
    <row r="18" spans="1:10" x14ac:dyDescent="0.25">
      <c r="A18" s="2" t="s">
        <v>1</v>
      </c>
      <c r="B18" s="2" t="s">
        <v>2</v>
      </c>
      <c r="C18" s="2" t="s">
        <v>3</v>
      </c>
      <c r="D18" s="2" t="s">
        <v>4</v>
      </c>
      <c r="E18" s="3" t="s">
        <v>5</v>
      </c>
      <c r="F18" s="3" t="s">
        <v>6</v>
      </c>
      <c r="G18" s="9" t="s">
        <v>35</v>
      </c>
      <c r="H18" s="9" t="s">
        <v>36</v>
      </c>
      <c r="I18" s="9" t="s">
        <v>38</v>
      </c>
      <c r="J18" s="9" t="s">
        <v>39</v>
      </c>
    </row>
    <row r="19" spans="1:10" x14ac:dyDescent="0.25">
      <c r="A19" s="2">
        <v>12</v>
      </c>
      <c r="B19" s="2" t="s">
        <v>8</v>
      </c>
      <c r="C19" s="2" t="s">
        <v>31</v>
      </c>
      <c r="D19" s="2" t="s">
        <v>30</v>
      </c>
      <c r="E19" s="4">
        <f>+A19*3.5</f>
        <v>42</v>
      </c>
      <c r="F19" s="4">
        <f>+A19*4</f>
        <v>48</v>
      </c>
      <c r="G19" s="10">
        <v>2600</v>
      </c>
      <c r="H19" s="10">
        <f t="shared" ref="H19:H31" si="3">+E19*G19/1000</f>
        <v>109.2</v>
      </c>
      <c r="I19" s="10">
        <v>75</v>
      </c>
      <c r="J19" s="10">
        <v>25</v>
      </c>
    </row>
    <row r="20" spans="1:10" x14ac:dyDescent="0.25">
      <c r="A20" s="2">
        <v>15</v>
      </c>
      <c r="B20" s="2" t="s">
        <v>8</v>
      </c>
      <c r="C20" s="2" t="s">
        <v>31</v>
      </c>
      <c r="D20" s="2" t="s">
        <v>30</v>
      </c>
      <c r="E20" s="4">
        <f t="shared" ref="E20:E31" si="4">+A20*3.5</f>
        <v>52.5</v>
      </c>
      <c r="F20" s="4">
        <f t="shared" ref="F20:F31" si="5">+A20*4</f>
        <v>60</v>
      </c>
      <c r="G20" s="10">
        <v>2600</v>
      </c>
      <c r="H20" s="10">
        <f t="shared" si="3"/>
        <v>136.5</v>
      </c>
      <c r="I20" s="10">
        <v>75</v>
      </c>
      <c r="J20" s="10">
        <v>25</v>
      </c>
    </row>
    <row r="21" spans="1:10" x14ac:dyDescent="0.25">
      <c r="A21" s="2">
        <v>17</v>
      </c>
      <c r="B21" s="2" t="s">
        <v>8</v>
      </c>
      <c r="C21" s="2" t="s">
        <v>31</v>
      </c>
      <c r="D21" s="2" t="s">
        <v>30</v>
      </c>
      <c r="E21" s="4">
        <f t="shared" si="4"/>
        <v>59.5</v>
      </c>
      <c r="F21" s="4">
        <f t="shared" si="5"/>
        <v>68</v>
      </c>
      <c r="G21" s="10">
        <v>2600</v>
      </c>
      <c r="H21" s="10">
        <f t="shared" si="3"/>
        <v>154.69999999999999</v>
      </c>
      <c r="I21" s="10">
        <v>75</v>
      </c>
      <c r="J21" s="10">
        <v>25</v>
      </c>
    </row>
    <row r="22" spans="1:10" x14ac:dyDescent="0.25">
      <c r="A22" s="2">
        <v>19</v>
      </c>
      <c r="B22" s="2" t="s">
        <v>8</v>
      </c>
      <c r="C22" s="2" t="s">
        <v>31</v>
      </c>
      <c r="D22" s="2" t="s">
        <v>30</v>
      </c>
      <c r="E22" s="4">
        <f t="shared" si="4"/>
        <v>66.5</v>
      </c>
      <c r="F22" s="4">
        <f t="shared" si="5"/>
        <v>76</v>
      </c>
      <c r="G22" s="10">
        <v>2500</v>
      </c>
      <c r="H22" s="10">
        <f t="shared" si="3"/>
        <v>166.25</v>
      </c>
      <c r="I22" s="10">
        <v>75</v>
      </c>
      <c r="J22" s="10">
        <v>25</v>
      </c>
    </row>
    <row r="23" spans="1:10" x14ac:dyDescent="0.25">
      <c r="A23" s="2">
        <v>20</v>
      </c>
      <c r="B23" s="2" t="s">
        <v>8</v>
      </c>
      <c r="C23" s="2" t="s">
        <v>31</v>
      </c>
      <c r="D23" s="2" t="s">
        <v>30</v>
      </c>
      <c r="E23" s="4">
        <f t="shared" si="4"/>
        <v>70</v>
      </c>
      <c r="F23" s="4">
        <f t="shared" si="5"/>
        <v>80</v>
      </c>
      <c r="G23" s="10">
        <v>2400</v>
      </c>
      <c r="H23" s="10">
        <f t="shared" si="3"/>
        <v>168</v>
      </c>
      <c r="I23" s="10">
        <v>75</v>
      </c>
      <c r="J23" s="10">
        <v>25</v>
      </c>
    </row>
    <row r="24" spans="1:10" x14ac:dyDescent="0.25">
      <c r="A24" s="2">
        <v>22</v>
      </c>
      <c r="B24" s="2" t="s">
        <v>8</v>
      </c>
      <c r="C24" s="2" t="s">
        <v>31</v>
      </c>
      <c r="D24" s="2" t="s">
        <v>30</v>
      </c>
      <c r="E24" s="4">
        <f t="shared" si="4"/>
        <v>77</v>
      </c>
      <c r="F24" s="4">
        <f t="shared" si="5"/>
        <v>88</v>
      </c>
      <c r="G24" s="10">
        <v>2200</v>
      </c>
      <c r="H24" s="10">
        <f t="shared" si="3"/>
        <v>169.4</v>
      </c>
      <c r="I24" s="10">
        <v>75</v>
      </c>
      <c r="J24" s="10">
        <v>25</v>
      </c>
    </row>
    <row r="25" spans="1:10" x14ac:dyDescent="0.25">
      <c r="A25" s="2">
        <v>24</v>
      </c>
      <c r="B25" s="2" t="s">
        <v>8</v>
      </c>
      <c r="C25" s="2" t="s">
        <v>31</v>
      </c>
      <c r="D25" s="2" t="s">
        <v>30</v>
      </c>
      <c r="E25" s="4">
        <f t="shared" si="4"/>
        <v>84</v>
      </c>
      <c r="F25" s="4">
        <f t="shared" si="5"/>
        <v>96</v>
      </c>
      <c r="G25" s="10">
        <v>2200</v>
      </c>
      <c r="H25" s="10">
        <f t="shared" si="3"/>
        <v>184.8</v>
      </c>
      <c r="I25" s="10">
        <v>75</v>
      </c>
      <c r="J25" s="10">
        <v>25</v>
      </c>
    </row>
    <row r="26" spans="1:10" x14ac:dyDescent="0.25">
      <c r="A26" s="2">
        <v>26</v>
      </c>
      <c r="B26" s="2" t="s">
        <v>8</v>
      </c>
      <c r="C26" s="2" t="s">
        <v>31</v>
      </c>
      <c r="D26" s="2" t="s">
        <v>30</v>
      </c>
      <c r="E26" s="4">
        <f t="shared" si="4"/>
        <v>91</v>
      </c>
      <c r="F26" s="4">
        <f t="shared" si="5"/>
        <v>104</v>
      </c>
      <c r="G26" s="10">
        <v>2200</v>
      </c>
      <c r="H26" s="10">
        <f t="shared" si="3"/>
        <v>200.2</v>
      </c>
      <c r="I26" s="10">
        <v>75</v>
      </c>
      <c r="J26" s="10">
        <v>25</v>
      </c>
    </row>
    <row r="27" spans="1:10" x14ac:dyDescent="0.25">
      <c r="A27" s="2">
        <v>28</v>
      </c>
      <c r="B27" s="2" t="s">
        <v>8</v>
      </c>
      <c r="C27" s="2" t="s">
        <v>31</v>
      </c>
      <c r="D27" s="2" t="s">
        <v>30</v>
      </c>
      <c r="E27" s="4">
        <f t="shared" si="4"/>
        <v>98</v>
      </c>
      <c r="F27" s="4">
        <f t="shared" si="5"/>
        <v>112</v>
      </c>
      <c r="G27" s="10">
        <v>2000</v>
      </c>
      <c r="H27" s="10">
        <f t="shared" si="3"/>
        <v>196</v>
      </c>
      <c r="I27" s="10">
        <v>75</v>
      </c>
      <c r="J27" s="10">
        <v>25</v>
      </c>
    </row>
    <row r="28" spans="1:10" x14ac:dyDescent="0.25">
      <c r="A28" s="2">
        <v>30</v>
      </c>
      <c r="B28" s="2" t="s">
        <v>8</v>
      </c>
      <c r="C28" s="2" t="s">
        <v>31</v>
      </c>
      <c r="D28" s="2" t="s">
        <v>30</v>
      </c>
      <c r="E28" s="4">
        <f t="shared" si="4"/>
        <v>105</v>
      </c>
      <c r="F28" s="4">
        <f t="shared" si="5"/>
        <v>120</v>
      </c>
      <c r="G28" s="10">
        <v>2000</v>
      </c>
      <c r="H28" s="10">
        <f t="shared" si="3"/>
        <v>210</v>
      </c>
      <c r="I28" s="10">
        <v>75</v>
      </c>
      <c r="J28" s="10">
        <v>25</v>
      </c>
    </row>
    <row r="29" spans="1:10" x14ac:dyDescent="0.25">
      <c r="A29" s="2">
        <v>32</v>
      </c>
      <c r="B29" s="2" t="s">
        <v>8</v>
      </c>
      <c r="C29" s="2" t="s">
        <v>31</v>
      </c>
      <c r="D29" s="2" t="s">
        <v>30</v>
      </c>
      <c r="E29" s="4">
        <f t="shared" si="4"/>
        <v>112</v>
      </c>
      <c r="F29" s="4">
        <f t="shared" si="5"/>
        <v>128</v>
      </c>
      <c r="G29" s="10">
        <v>1900</v>
      </c>
      <c r="H29" s="10">
        <f t="shared" si="3"/>
        <v>212.8</v>
      </c>
      <c r="I29" s="10">
        <v>75</v>
      </c>
      <c r="J29" s="10">
        <v>25</v>
      </c>
    </row>
    <row r="30" spans="1:10" x14ac:dyDescent="0.25">
      <c r="A30" s="2">
        <v>34</v>
      </c>
      <c r="B30" s="2" t="s">
        <v>8</v>
      </c>
      <c r="C30" s="2" t="s">
        <v>31</v>
      </c>
      <c r="D30" s="2" t="s">
        <v>30</v>
      </c>
      <c r="E30" s="4">
        <f t="shared" si="4"/>
        <v>119</v>
      </c>
      <c r="F30" s="4">
        <f t="shared" si="5"/>
        <v>136</v>
      </c>
      <c r="G30" s="10">
        <v>1900</v>
      </c>
      <c r="H30" s="10">
        <f t="shared" si="3"/>
        <v>226.1</v>
      </c>
      <c r="I30" s="10">
        <v>75</v>
      </c>
      <c r="J30" s="10">
        <v>25</v>
      </c>
    </row>
    <row r="31" spans="1:10" x14ac:dyDescent="0.25">
      <c r="A31" s="2">
        <v>36</v>
      </c>
      <c r="B31" s="2" t="s">
        <v>8</v>
      </c>
      <c r="C31" s="2" t="s">
        <v>31</v>
      </c>
      <c r="D31" s="2" t="s">
        <v>30</v>
      </c>
      <c r="E31" s="4">
        <f t="shared" si="4"/>
        <v>126</v>
      </c>
      <c r="F31" s="4">
        <f t="shared" si="5"/>
        <v>144</v>
      </c>
      <c r="G31" s="10">
        <v>1800</v>
      </c>
      <c r="H31" s="10">
        <f t="shared" si="3"/>
        <v>226.8</v>
      </c>
      <c r="I31" s="10">
        <v>75</v>
      </c>
      <c r="J31" s="10">
        <v>25</v>
      </c>
    </row>
    <row r="32" spans="1:10" x14ac:dyDescent="0.25">
      <c r="A32" s="2"/>
      <c r="B32" s="2"/>
      <c r="C32" s="2"/>
      <c r="D32" s="2"/>
      <c r="E32" s="3"/>
      <c r="F32" s="3"/>
    </row>
    <row r="33" spans="1:10" x14ac:dyDescent="0.25">
      <c r="A33" s="2" t="s">
        <v>1</v>
      </c>
      <c r="B33" s="2" t="s">
        <v>2</v>
      </c>
      <c r="C33" s="2" t="s">
        <v>3</v>
      </c>
      <c r="D33" s="2" t="s">
        <v>4</v>
      </c>
      <c r="E33" s="3" t="s">
        <v>5</v>
      </c>
      <c r="F33" s="3" t="s">
        <v>6</v>
      </c>
      <c r="G33" s="9" t="s">
        <v>35</v>
      </c>
      <c r="H33" s="9" t="s">
        <v>36</v>
      </c>
      <c r="I33" s="9" t="s">
        <v>38</v>
      </c>
      <c r="J33" s="9" t="s">
        <v>39</v>
      </c>
    </row>
    <row r="34" spans="1:10" x14ac:dyDescent="0.25">
      <c r="A34" s="2">
        <v>12</v>
      </c>
      <c r="B34" s="2" t="s">
        <v>9</v>
      </c>
      <c r="C34" s="2" t="s">
        <v>32</v>
      </c>
      <c r="D34" s="2" t="s">
        <v>30</v>
      </c>
      <c r="E34" s="2">
        <f>+A34*4</f>
        <v>48</v>
      </c>
      <c r="F34" s="2">
        <f>+A34*4.5</f>
        <v>54</v>
      </c>
      <c r="G34" s="10">
        <v>2500</v>
      </c>
      <c r="H34" s="10">
        <f t="shared" ref="H34:H46" si="6">+E34*G34/1000</f>
        <v>120</v>
      </c>
      <c r="I34" s="10">
        <v>75</v>
      </c>
      <c r="J34" s="10">
        <v>25</v>
      </c>
    </row>
    <row r="35" spans="1:10" x14ac:dyDescent="0.25">
      <c r="A35" s="2">
        <v>15</v>
      </c>
      <c r="B35" s="2" t="s">
        <v>9</v>
      </c>
      <c r="C35" s="2" t="s">
        <v>32</v>
      </c>
      <c r="D35" s="2" t="s">
        <v>30</v>
      </c>
      <c r="E35" s="2">
        <f t="shared" ref="E35:E46" si="7">+A35*4</f>
        <v>60</v>
      </c>
      <c r="F35" s="2">
        <f t="shared" ref="F35:F46" si="8">+A35*4.5</f>
        <v>67.5</v>
      </c>
      <c r="G35" s="10">
        <v>2450</v>
      </c>
      <c r="H35" s="10">
        <f t="shared" si="6"/>
        <v>147</v>
      </c>
      <c r="I35" s="10">
        <v>75</v>
      </c>
      <c r="J35" s="10">
        <v>25</v>
      </c>
    </row>
    <row r="36" spans="1:10" x14ac:dyDescent="0.25">
      <c r="A36" s="2">
        <v>17</v>
      </c>
      <c r="B36" s="2" t="s">
        <v>9</v>
      </c>
      <c r="C36" s="2" t="s">
        <v>32</v>
      </c>
      <c r="D36" s="2" t="s">
        <v>30</v>
      </c>
      <c r="E36" s="2">
        <f t="shared" si="7"/>
        <v>68</v>
      </c>
      <c r="F36" s="2">
        <f t="shared" si="8"/>
        <v>76.5</v>
      </c>
      <c r="G36" s="10">
        <v>2450</v>
      </c>
      <c r="H36" s="10">
        <f t="shared" si="6"/>
        <v>166.6</v>
      </c>
      <c r="I36" s="10">
        <v>75</v>
      </c>
      <c r="J36" s="10">
        <v>25</v>
      </c>
    </row>
    <row r="37" spans="1:10" x14ac:dyDescent="0.25">
      <c r="A37" s="2">
        <v>19</v>
      </c>
      <c r="B37" s="2" t="s">
        <v>9</v>
      </c>
      <c r="C37" s="2" t="s">
        <v>32</v>
      </c>
      <c r="D37" s="2" t="s">
        <v>30</v>
      </c>
      <c r="E37" s="2">
        <f t="shared" si="7"/>
        <v>76</v>
      </c>
      <c r="F37" s="2">
        <f t="shared" si="8"/>
        <v>85.5</v>
      </c>
      <c r="G37" s="10">
        <v>2250</v>
      </c>
      <c r="H37" s="10">
        <f t="shared" si="6"/>
        <v>171</v>
      </c>
      <c r="I37" s="10">
        <v>75</v>
      </c>
      <c r="J37" s="10">
        <v>25</v>
      </c>
    </row>
    <row r="38" spans="1:10" x14ac:dyDescent="0.25">
      <c r="A38" s="2">
        <v>20</v>
      </c>
      <c r="B38" s="2" t="s">
        <v>9</v>
      </c>
      <c r="C38" s="2" t="s">
        <v>32</v>
      </c>
      <c r="D38" s="2" t="s">
        <v>30</v>
      </c>
      <c r="E38" s="2">
        <f t="shared" si="7"/>
        <v>80</v>
      </c>
      <c r="F38" s="2">
        <f t="shared" si="8"/>
        <v>90</v>
      </c>
      <c r="G38" s="10">
        <v>2200</v>
      </c>
      <c r="H38" s="10">
        <f t="shared" si="6"/>
        <v>176</v>
      </c>
      <c r="I38" s="10">
        <v>75</v>
      </c>
      <c r="J38" s="10">
        <v>25</v>
      </c>
    </row>
    <row r="39" spans="1:10" x14ac:dyDescent="0.25">
      <c r="A39" s="2">
        <v>22</v>
      </c>
      <c r="B39" s="2" t="s">
        <v>9</v>
      </c>
      <c r="C39" s="2" t="s">
        <v>32</v>
      </c>
      <c r="D39" s="2" t="s">
        <v>30</v>
      </c>
      <c r="E39" s="2">
        <f t="shared" si="7"/>
        <v>88</v>
      </c>
      <c r="F39" s="2">
        <f t="shared" si="8"/>
        <v>99</v>
      </c>
      <c r="G39" s="10">
        <v>2100</v>
      </c>
      <c r="H39" s="10">
        <f t="shared" si="6"/>
        <v>184.8</v>
      </c>
      <c r="I39" s="10">
        <v>75</v>
      </c>
      <c r="J39" s="10">
        <v>25</v>
      </c>
    </row>
    <row r="40" spans="1:10" x14ac:dyDescent="0.25">
      <c r="A40" s="2">
        <v>24</v>
      </c>
      <c r="B40" s="2" t="s">
        <v>9</v>
      </c>
      <c r="C40" s="2" t="s">
        <v>32</v>
      </c>
      <c r="D40" s="2" t="s">
        <v>30</v>
      </c>
      <c r="E40" s="2">
        <f t="shared" si="7"/>
        <v>96</v>
      </c>
      <c r="F40" s="2">
        <f t="shared" si="8"/>
        <v>108</v>
      </c>
      <c r="G40" s="10">
        <v>2200</v>
      </c>
      <c r="H40" s="10">
        <f t="shared" si="6"/>
        <v>211.2</v>
      </c>
      <c r="I40" s="10">
        <v>75</v>
      </c>
      <c r="J40" s="10">
        <v>25</v>
      </c>
    </row>
    <row r="41" spans="1:10" x14ac:dyDescent="0.25">
      <c r="A41" s="2">
        <v>26</v>
      </c>
      <c r="B41" s="2" t="s">
        <v>9</v>
      </c>
      <c r="C41" s="2" t="s">
        <v>32</v>
      </c>
      <c r="D41" s="2" t="s">
        <v>30</v>
      </c>
      <c r="E41" s="2">
        <f t="shared" si="7"/>
        <v>104</v>
      </c>
      <c r="F41" s="2">
        <f t="shared" si="8"/>
        <v>117</v>
      </c>
      <c r="G41" s="10">
        <v>2200</v>
      </c>
      <c r="H41" s="10">
        <f t="shared" si="6"/>
        <v>228.8</v>
      </c>
      <c r="I41" s="10">
        <v>75</v>
      </c>
      <c r="J41" s="10">
        <v>25</v>
      </c>
    </row>
    <row r="42" spans="1:10" x14ac:dyDescent="0.25">
      <c r="A42" s="2">
        <v>28</v>
      </c>
      <c r="B42" s="2" t="s">
        <v>9</v>
      </c>
      <c r="C42" s="2" t="s">
        <v>32</v>
      </c>
      <c r="D42" s="2" t="s">
        <v>30</v>
      </c>
      <c r="E42" s="2">
        <f t="shared" si="7"/>
        <v>112</v>
      </c>
      <c r="F42" s="2">
        <f t="shared" si="8"/>
        <v>126</v>
      </c>
      <c r="G42" s="10">
        <v>2000</v>
      </c>
      <c r="H42" s="10">
        <f t="shared" si="6"/>
        <v>224</v>
      </c>
      <c r="I42" s="10">
        <v>75</v>
      </c>
      <c r="J42" s="10">
        <v>25</v>
      </c>
    </row>
    <row r="43" spans="1:10" x14ac:dyDescent="0.25">
      <c r="A43" s="2">
        <v>30</v>
      </c>
      <c r="B43" s="2" t="s">
        <v>9</v>
      </c>
      <c r="C43" s="2" t="s">
        <v>32</v>
      </c>
      <c r="D43" s="2" t="s">
        <v>30</v>
      </c>
      <c r="E43" s="2">
        <f t="shared" si="7"/>
        <v>120</v>
      </c>
      <c r="F43" s="2">
        <f t="shared" si="8"/>
        <v>135</v>
      </c>
      <c r="G43" s="10">
        <v>1900</v>
      </c>
      <c r="H43" s="10">
        <f t="shared" si="6"/>
        <v>228</v>
      </c>
      <c r="I43" s="10">
        <v>75</v>
      </c>
      <c r="J43" s="10">
        <v>25</v>
      </c>
    </row>
    <row r="44" spans="1:10" x14ac:dyDescent="0.25">
      <c r="A44" s="2">
        <v>32</v>
      </c>
      <c r="B44" s="2" t="s">
        <v>9</v>
      </c>
      <c r="C44" s="2" t="s">
        <v>32</v>
      </c>
      <c r="D44" s="2" t="s">
        <v>30</v>
      </c>
      <c r="E44" s="2">
        <f t="shared" si="7"/>
        <v>128</v>
      </c>
      <c r="F44" s="2">
        <f t="shared" si="8"/>
        <v>144</v>
      </c>
      <c r="G44" s="10">
        <v>1800</v>
      </c>
      <c r="H44" s="10">
        <f t="shared" si="6"/>
        <v>230.4</v>
      </c>
      <c r="I44" s="10">
        <v>75</v>
      </c>
      <c r="J44" s="10">
        <v>25</v>
      </c>
    </row>
    <row r="45" spans="1:10" x14ac:dyDescent="0.25">
      <c r="A45" s="2">
        <v>34</v>
      </c>
      <c r="B45" s="2" t="s">
        <v>9</v>
      </c>
      <c r="C45" s="2" t="s">
        <v>32</v>
      </c>
      <c r="D45" s="2" t="s">
        <v>30</v>
      </c>
      <c r="E45" s="2">
        <f t="shared" si="7"/>
        <v>136</v>
      </c>
      <c r="F45" s="2">
        <f t="shared" si="8"/>
        <v>153</v>
      </c>
      <c r="G45" s="10">
        <v>1800</v>
      </c>
      <c r="H45" s="10">
        <f t="shared" si="6"/>
        <v>244.8</v>
      </c>
      <c r="I45" s="10">
        <v>75</v>
      </c>
      <c r="J45" s="10">
        <v>25</v>
      </c>
    </row>
    <row r="46" spans="1:10" x14ac:dyDescent="0.25">
      <c r="A46" s="2">
        <v>36</v>
      </c>
      <c r="B46" s="2" t="s">
        <v>9</v>
      </c>
      <c r="C46" s="2" t="s">
        <v>32</v>
      </c>
      <c r="D46" s="2" t="s">
        <v>30</v>
      </c>
      <c r="E46" s="2">
        <f t="shared" si="7"/>
        <v>144</v>
      </c>
      <c r="F46" s="2">
        <f t="shared" si="8"/>
        <v>162</v>
      </c>
      <c r="G46" s="10">
        <v>1700</v>
      </c>
      <c r="H46" s="10">
        <f t="shared" si="6"/>
        <v>244.8</v>
      </c>
      <c r="I46" s="10">
        <v>75</v>
      </c>
      <c r="J46" s="10">
        <v>25</v>
      </c>
    </row>
    <row r="47" spans="1:10" x14ac:dyDescent="0.25">
      <c r="A47" s="2"/>
      <c r="B47" s="2"/>
      <c r="C47" s="2"/>
      <c r="D47" s="2"/>
      <c r="E47" s="3"/>
      <c r="F47" s="3"/>
    </row>
    <row r="48" spans="1:10" x14ac:dyDescent="0.25">
      <c r="A48" s="2" t="s">
        <v>1</v>
      </c>
      <c r="B48" s="2" t="s">
        <v>2</v>
      </c>
      <c r="C48" s="2" t="s">
        <v>3</v>
      </c>
      <c r="D48" s="2" t="s">
        <v>4</v>
      </c>
      <c r="E48" s="3" t="s">
        <v>5</v>
      </c>
      <c r="F48" s="3" t="s">
        <v>6</v>
      </c>
      <c r="G48" s="9" t="s">
        <v>35</v>
      </c>
      <c r="H48" s="9" t="s">
        <v>36</v>
      </c>
      <c r="I48" s="9" t="s">
        <v>38</v>
      </c>
      <c r="J48" s="9" t="s">
        <v>39</v>
      </c>
    </row>
    <row r="49" spans="1:10" x14ac:dyDescent="0.25">
      <c r="A49" s="2">
        <v>12</v>
      </c>
      <c r="B49" s="2" t="s">
        <v>10</v>
      </c>
      <c r="C49" s="2" t="s">
        <v>33</v>
      </c>
      <c r="D49" s="2" t="s">
        <v>30</v>
      </c>
      <c r="E49" s="2">
        <f>+A49*4.5</f>
        <v>54</v>
      </c>
      <c r="F49" s="2">
        <f>+A49*5.1</f>
        <v>61.199999999999996</v>
      </c>
      <c r="G49" s="10">
        <v>2400</v>
      </c>
      <c r="H49" s="10">
        <f t="shared" ref="H49:H61" si="9">+E49*G49/1000</f>
        <v>129.6</v>
      </c>
      <c r="I49" s="10">
        <v>75</v>
      </c>
      <c r="J49" s="10">
        <v>25</v>
      </c>
    </row>
    <row r="50" spans="1:10" x14ac:dyDescent="0.25">
      <c r="A50" s="2">
        <v>15</v>
      </c>
      <c r="B50" s="2" t="s">
        <v>10</v>
      </c>
      <c r="C50" s="2" t="s">
        <v>33</v>
      </c>
      <c r="D50" s="2" t="s">
        <v>30</v>
      </c>
      <c r="E50" s="2">
        <f t="shared" ref="E50:E61" si="10">+A50*4.5</f>
        <v>67.5</v>
      </c>
      <c r="F50" s="2">
        <f t="shared" ref="F50:F61" si="11">+A50*5.1</f>
        <v>76.5</v>
      </c>
      <c r="G50" s="10">
        <v>2400</v>
      </c>
      <c r="H50" s="10">
        <f t="shared" si="9"/>
        <v>162</v>
      </c>
      <c r="I50" s="10">
        <v>75</v>
      </c>
      <c r="J50" s="10">
        <v>25</v>
      </c>
    </row>
    <row r="51" spans="1:10" x14ac:dyDescent="0.25">
      <c r="A51" s="2">
        <v>17</v>
      </c>
      <c r="B51" s="2" t="s">
        <v>10</v>
      </c>
      <c r="C51" s="2" t="s">
        <v>33</v>
      </c>
      <c r="D51" s="2" t="s">
        <v>30</v>
      </c>
      <c r="E51" s="2">
        <f t="shared" si="10"/>
        <v>76.5</v>
      </c>
      <c r="F51" s="2">
        <f t="shared" si="11"/>
        <v>86.699999999999989</v>
      </c>
      <c r="G51" s="10">
        <v>2350</v>
      </c>
      <c r="H51" s="10">
        <f t="shared" si="9"/>
        <v>179.77500000000001</v>
      </c>
      <c r="I51" s="10">
        <v>75</v>
      </c>
      <c r="J51" s="10">
        <v>25</v>
      </c>
    </row>
    <row r="52" spans="1:10" x14ac:dyDescent="0.25">
      <c r="A52" s="2">
        <v>19</v>
      </c>
      <c r="B52" s="2" t="s">
        <v>10</v>
      </c>
      <c r="C52" s="2" t="s">
        <v>33</v>
      </c>
      <c r="D52" s="2" t="s">
        <v>30</v>
      </c>
      <c r="E52" s="2">
        <f t="shared" si="10"/>
        <v>85.5</v>
      </c>
      <c r="F52" s="2">
        <f t="shared" si="11"/>
        <v>96.899999999999991</v>
      </c>
      <c r="G52" s="10">
        <v>2150</v>
      </c>
      <c r="H52" s="10">
        <f t="shared" si="9"/>
        <v>183.82499999999999</v>
      </c>
      <c r="I52" s="10">
        <v>75</v>
      </c>
      <c r="J52" s="10">
        <v>25</v>
      </c>
    </row>
    <row r="53" spans="1:10" x14ac:dyDescent="0.25">
      <c r="A53" s="2">
        <v>20</v>
      </c>
      <c r="B53" s="2" t="s">
        <v>10</v>
      </c>
      <c r="C53" s="2" t="s">
        <v>33</v>
      </c>
      <c r="D53" s="2" t="s">
        <v>30</v>
      </c>
      <c r="E53" s="2">
        <f t="shared" si="10"/>
        <v>90</v>
      </c>
      <c r="F53" s="2">
        <f t="shared" si="11"/>
        <v>102</v>
      </c>
      <c r="G53" s="10">
        <v>2100</v>
      </c>
      <c r="H53" s="10">
        <f t="shared" si="9"/>
        <v>189</v>
      </c>
      <c r="I53" s="10">
        <v>75</v>
      </c>
      <c r="J53" s="10">
        <v>25</v>
      </c>
    </row>
    <row r="54" spans="1:10" x14ac:dyDescent="0.25">
      <c r="A54" s="2">
        <v>22</v>
      </c>
      <c r="B54" s="2" t="s">
        <v>10</v>
      </c>
      <c r="C54" s="2" t="s">
        <v>33</v>
      </c>
      <c r="D54" s="2" t="s">
        <v>30</v>
      </c>
      <c r="E54" s="2">
        <f t="shared" si="10"/>
        <v>99</v>
      </c>
      <c r="F54" s="2">
        <f t="shared" si="11"/>
        <v>112.19999999999999</v>
      </c>
      <c r="G54" s="10">
        <v>2050</v>
      </c>
      <c r="H54" s="10">
        <f t="shared" si="9"/>
        <v>202.95</v>
      </c>
      <c r="I54" s="10">
        <v>75</v>
      </c>
      <c r="J54" s="10">
        <v>25</v>
      </c>
    </row>
    <row r="55" spans="1:10" x14ac:dyDescent="0.25">
      <c r="A55" s="2">
        <v>24</v>
      </c>
      <c r="B55" s="2" t="s">
        <v>10</v>
      </c>
      <c r="C55" s="2" t="s">
        <v>33</v>
      </c>
      <c r="D55" s="2" t="s">
        <v>30</v>
      </c>
      <c r="E55" s="2">
        <f t="shared" si="10"/>
        <v>108</v>
      </c>
      <c r="F55" s="2">
        <f t="shared" si="11"/>
        <v>122.39999999999999</v>
      </c>
      <c r="G55" s="10">
        <v>2000</v>
      </c>
      <c r="H55" s="10">
        <f t="shared" si="9"/>
        <v>216</v>
      </c>
      <c r="I55" s="10">
        <v>75</v>
      </c>
      <c r="J55" s="10">
        <v>25</v>
      </c>
    </row>
    <row r="56" spans="1:10" x14ac:dyDescent="0.25">
      <c r="A56" s="2">
        <v>26</v>
      </c>
      <c r="B56" s="2" t="s">
        <v>10</v>
      </c>
      <c r="C56" s="2" t="s">
        <v>33</v>
      </c>
      <c r="D56" s="2" t="s">
        <v>30</v>
      </c>
      <c r="E56" s="2">
        <f t="shared" si="10"/>
        <v>117</v>
      </c>
      <c r="F56" s="2">
        <f t="shared" si="11"/>
        <v>132.6</v>
      </c>
      <c r="G56" s="10">
        <v>1900</v>
      </c>
      <c r="H56" s="10">
        <f t="shared" si="9"/>
        <v>222.3</v>
      </c>
      <c r="I56" s="10">
        <v>75</v>
      </c>
      <c r="J56" s="10">
        <v>25</v>
      </c>
    </row>
    <row r="57" spans="1:10" x14ac:dyDescent="0.25">
      <c r="A57" s="2">
        <v>28</v>
      </c>
      <c r="B57" s="2" t="s">
        <v>10</v>
      </c>
      <c r="C57" s="2" t="s">
        <v>33</v>
      </c>
      <c r="D57" s="2" t="s">
        <v>30</v>
      </c>
      <c r="E57" s="2">
        <f t="shared" si="10"/>
        <v>126</v>
      </c>
      <c r="F57" s="2">
        <f t="shared" si="11"/>
        <v>142.79999999999998</v>
      </c>
      <c r="G57" s="10">
        <v>2000</v>
      </c>
      <c r="H57" s="10">
        <f t="shared" si="9"/>
        <v>252</v>
      </c>
      <c r="I57" s="10">
        <v>75</v>
      </c>
      <c r="J57" s="10">
        <v>25</v>
      </c>
    </row>
    <row r="58" spans="1:10" x14ac:dyDescent="0.25">
      <c r="A58" s="2">
        <v>30</v>
      </c>
      <c r="B58" s="2" t="s">
        <v>10</v>
      </c>
      <c r="C58" s="2" t="s">
        <v>33</v>
      </c>
      <c r="D58" s="2" t="s">
        <v>30</v>
      </c>
      <c r="E58" s="2">
        <f t="shared" si="10"/>
        <v>135</v>
      </c>
      <c r="F58" s="2">
        <f t="shared" si="11"/>
        <v>153</v>
      </c>
      <c r="G58" s="10">
        <v>1900</v>
      </c>
      <c r="H58" s="10">
        <f t="shared" si="9"/>
        <v>256.5</v>
      </c>
      <c r="I58" s="10">
        <v>75</v>
      </c>
      <c r="J58" s="10">
        <v>25</v>
      </c>
    </row>
    <row r="59" spans="1:10" x14ac:dyDescent="0.25">
      <c r="A59" s="2">
        <v>32</v>
      </c>
      <c r="B59" s="2" t="s">
        <v>10</v>
      </c>
      <c r="C59" s="2" t="s">
        <v>33</v>
      </c>
      <c r="D59" s="2" t="s">
        <v>30</v>
      </c>
      <c r="E59" s="2">
        <f t="shared" si="10"/>
        <v>144</v>
      </c>
      <c r="F59" s="2">
        <f t="shared" si="11"/>
        <v>163.19999999999999</v>
      </c>
      <c r="G59" s="10">
        <v>1800</v>
      </c>
      <c r="H59" s="10">
        <f t="shared" si="9"/>
        <v>259.2</v>
      </c>
      <c r="I59" s="10">
        <v>75</v>
      </c>
      <c r="J59" s="10">
        <v>25</v>
      </c>
    </row>
    <row r="60" spans="1:10" x14ac:dyDescent="0.25">
      <c r="A60" s="2">
        <v>34</v>
      </c>
      <c r="B60" s="2" t="s">
        <v>10</v>
      </c>
      <c r="C60" s="2" t="s">
        <v>33</v>
      </c>
      <c r="D60" s="2" t="s">
        <v>30</v>
      </c>
      <c r="E60" s="2">
        <f t="shared" si="10"/>
        <v>153</v>
      </c>
      <c r="F60" s="2">
        <f t="shared" si="11"/>
        <v>173.39999999999998</v>
      </c>
      <c r="G60" s="10">
        <v>1800</v>
      </c>
      <c r="H60" s="10">
        <f t="shared" si="9"/>
        <v>275.39999999999998</v>
      </c>
      <c r="I60" s="10">
        <v>75</v>
      </c>
      <c r="J60" s="10">
        <v>25</v>
      </c>
    </row>
    <row r="61" spans="1:10" x14ac:dyDescent="0.25">
      <c r="A61" s="2">
        <v>36</v>
      </c>
      <c r="B61" s="2" t="s">
        <v>10</v>
      </c>
      <c r="C61" s="2" t="s">
        <v>33</v>
      </c>
      <c r="D61" s="2" t="s">
        <v>30</v>
      </c>
      <c r="E61" s="2">
        <f t="shared" si="10"/>
        <v>162</v>
      </c>
      <c r="F61" s="2">
        <f t="shared" si="11"/>
        <v>183.6</v>
      </c>
      <c r="G61" s="10">
        <v>1700</v>
      </c>
      <c r="H61" s="10">
        <f t="shared" si="9"/>
        <v>275.39999999999998</v>
      </c>
      <c r="I61" s="10">
        <v>75</v>
      </c>
      <c r="J61" s="10">
        <v>25</v>
      </c>
    </row>
    <row r="62" spans="1:10" x14ac:dyDescent="0.25">
      <c r="A62" s="2"/>
      <c r="B62" s="2"/>
      <c r="C62" s="2"/>
      <c r="D62" s="2"/>
      <c r="E62" s="3"/>
      <c r="F62" s="3"/>
    </row>
    <row r="63" spans="1:10" x14ac:dyDescent="0.25">
      <c r="A63" s="2" t="s">
        <v>1</v>
      </c>
      <c r="B63" s="2" t="s">
        <v>2</v>
      </c>
      <c r="C63" s="2" t="s">
        <v>3</v>
      </c>
      <c r="D63" s="2" t="s">
        <v>4</v>
      </c>
      <c r="E63" s="3" t="s">
        <v>5</v>
      </c>
      <c r="F63" s="3" t="s">
        <v>6</v>
      </c>
      <c r="G63" s="9" t="s">
        <v>35</v>
      </c>
      <c r="H63" s="9" t="s">
        <v>36</v>
      </c>
      <c r="I63" s="9" t="s">
        <v>38</v>
      </c>
      <c r="J63" s="9" t="s">
        <v>39</v>
      </c>
    </row>
    <row r="64" spans="1:10" x14ac:dyDescent="0.25">
      <c r="A64" s="2">
        <v>12</v>
      </c>
      <c r="B64" s="2" t="s">
        <v>11</v>
      </c>
      <c r="C64" s="2" t="s">
        <v>34</v>
      </c>
      <c r="D64" s="2" t="s">
        <v>30</v>
      </c>
      <c r="E64" s="2">
        <f>+A64*5</f>
        <v>60</v>
      </c>
      <c r="F64" s="2">
        <f>+A64*5.8</f>
        <v>69.599999999999994</v>
      </c>
      <c r="G64" s="10">
        <v>2300</v>
      </c>
      <c r="H64" s="10">
        <f t="shared" ref="H64:H76" si="12">+E64*G64/1000</f>
        <v>138</v>
      </c>
      <c r="I64" s="10">
        <v>75</v>
      </c>
      <c r="J64" s="10">
        <v>25</v>
      </c>
    </row>
    <row r="65" spans="1:10" x14ac:dyDescent="0.25">
      <c r="A65" s="2">
        <v>15</v>
      </c>
      <c r="B65" s="2" t="s">
        <v>11</v>
      </c>
      <c r="C65" s="2" t="s">
        <v>34</v>
      </c>
      <c r="D65" s="2" t="s">
        <v>30</v>
      </c>
      <c r="E65" s="2">
        <f t="shared" ref="E65:E76" si="13">+A65*5</f>
        <v>75</v>
      </c>
      <c r="F65" s="2">
        <f t="shared" ref="F65:F76" si="14">+A65*5.8</f>
        <v>87</v>
      </c>
      <c r="G65" s="10">
        <v>2200</v>
      </c>
      <c r="H65" s="10">
        <f t="shared" si="12"/>
        <v>165</v>
      </c>
      <c r="I65" s="10">
        <v>75</v>
      </c>
      <c r="J65" s="10">
        <v>25</v>
      </c>
    </row>
    <row r="66" spans="1:10" x14ac:dyDescent="0.25">
      <c r="A66" s="2">
        <v>17</v>
      </c>
      <c r="B66" s="2" t="s">
        <v>11</v>
      </c>
      <c r="C66" s="2" t="s">
        <v>34</v>
      </c>
      <c r="D66" s="2" t="s">
        <v>30</v>
      </c>
      <c r="E66" s="2">
        <f t="shared" si="13"/>
        <v>85</v>
      </c>
      <c r="F66" s="2">
        <f t="shared" si="14"/>
        <v>98.6</v>
      </c>
      <c r="G66" s="10">
        <v>2200</v>
      </c>
      <c r="H66" s="10">
        <f t="shared" si="12"/>
        <v>187</v>
      </c>
      <c r="I66" s="10">
        <v>75</v>
      </c>
      <c r="J66" s="10">
        <v>25</v>
      </c>
    </row>
    <row r="67" spans="1:10" x14ac:dyDescent="0.25">
      <c r="A67" s="2">
        <v>19</v>
      </c>
      <c r="B67" s="2" t="s">
        <v>11</v>
      </c>
      <c r="C67" s="2" t="s">
        <v>34</v>
      </c>
      <c r="D67" s="2" t="s">
        <v>30</v>
      </c>
      <c r="E67" s="2">
        <f t="shared" si="13"/>
        <v>95</v>
      </c>
      <c r="F67" s="2">
        <f t="shared" si="14"/>
        <v>110.2</v>
      </c>
      <c r="G67" s="10">
        <v>2200</v>
      </c>
      <c r="H67" s="10">
        <f t="shared" si="12"/>
        <v>209</v>
      </c>
      <c r="I67" s="10">
        <v>75</v>
      </c>
      <c r="J67" s="10">
        <v>25</v>
      </c>
    </row>
    <row r="68" spans="1:10" x14ac:dyDescent="0.25">
      <c r="A68" s="2">
        <v>20</v>
      </c>
      <c r="B68" s="2" t="s">
        <v>11</v>
      </c>
      <c r="C68" s="2" t="s">
        <v>34</v>
      </c>
      <c r="D68" s="2" t="s">
        <v>30</v>
      </c>
      <c r="E68" s="2">
        <f t="shared" si="13"/>
        <v>100</v>
      </c>
      <c r="F68" s="2">
        <f t="shared" si="14"/>
        <v>116</v>
      </c>
      <c r="G68" s="10">
        <v>2100</v>
      </c>
      <c r="H68" s="10">
        <f t="shared" si="12"/>
        <v>210</v>
      </c>
      <c r="I68" s="10">
        <v>75</v>
      </c>
      <c r="J68" s="10">
        <v>25</v>
      </c>
    </row>
    <row r="69" spans="1:10" x14ac:dyDescent="0.25">
      <c r="A69" s="2">
        <v>22</v>
      </c>
      <c r="B69" s="2" t="s">
        <v>11</v>
      </c>
      <c r="C69" s="2" t="s">
        <v>34</v>
      </c>
      <c r="D69" s="2" t="s">
        <v>30</v>
      </c>
      <c r="E69" s="2">
        <f t="shared" si="13"/>
        <v>110</v>
      </c>
      <c r="F69" s="2">
        <f t="shared" si="14"/>
        <v>127.6</v>
      </c>
      <c r="G69" s="10">
        <v>2100</v>
      </c>
      <c r="H69" s="10">
        <f t="shared" si="12"/>
        <v>231</v>
      </c>
      <c r="I69" s="10">
        <v>75</v>
      </c>
      <c r="J69" s="10">
        <v>25</v>
      </c>
    </row>
    <row r="70" spans="1:10" x14ac:dyDescent="0.25">
      <c r="A70" s="2">
        <v>24</v>
      </c>
      <c r="B70" s="2" t="s">
        <v>11</v>
      </c>
      <c r="C70" s="2" t="s">
        <v>34</v>
      </c>
      <c r="D70" s="2" t="s">
        <v>30</v>
      </c>
      <c r="E70" s="2">
        <f t="shared" si="13"/>
        <v>120</v>
      </c>
      <c r="F70" s="2">
        <f t="shared" si="14"/>
        <v>139.19999999999999</v>
      </c>
      <c r="G70" s="10">
        <v>2000</v>
      </c>
      <c r="H70" s="10">
        <f t="shared" si="12"/>
        <v>240</v>
      </c>
      <c r="I70" s="10">
        <v>75</v>
      </c>
      <c r="J70" s="10">
        <v>25</v>
      </c>
    </row>
    <row r="71" spans="1:10" x14ac:dyDescent="0.25">
      <c r="A71" s="2">
        <v>26</v>
      </c>
      <c r="B71" s="2" t="s">
        <v>11</v>
      </c>
      <c r="C71" s="2" t="s">
        <v>34</v>
      </c>
      <c r="D71" s="2" t="s">
        <v>30</v>
      </c>
      <c r="E71" s="2">
        <f t="shared" si="13"/>
        <v>130</v>
      </c>
      <c r="F71" s="2">
        <f t="shared" si="14"/>
        <v>150.79999999999998</v>
      </c>
      <c r="G71" s="10">
        <v>1900</v>
      </c>
      <c r="H71" s="10">
        <f t="shared" si="12"/>
        <v>247</v>
      </c>
      <c r="I71" s="10">
        <v>75</v>
      </c>
      <c r="J71" s="10">
        <v>25</v>
      </c>
    </row>
    <row r="72" spans="1:10" x14ac:dyDescent="0.25">
      <c r="A72" s="2">
        <v>28</v>
      </c>
      <c r="B72" s="2" t="s">
        <v>11</v>
      </c>
      <c r="C72" s="2" t="s">
        <v>34</v>
      </c>
      <c r="D72" s="2" t="s">
        <v>30</v>
      </c>
      <c r="E72" s="2">
        <f t="shared" si="13"/>
        <v>140</v>
      </c>
      <c r="F72" s="2">
        <f t="shared" si="14"/>
        <v>162.4</v>
      </c>
      <c r="G72" s="10">
        <v>1800</v>
      </c>
      <c r="H72" s="10">
        <f t="shared" si="12"/>
        <v>252</v>
      </c>
      <c r="I72" s="10">
        <v>75</v>
      </c>
      <c r="J72" s="10">
        <v>25</v>
      </c>
    </row>
    <row r="73" spans="1:10" x14ac:dyDescent="0.25">
      <c r="A73" s="2">
        <v>30</v>
      </c>
      <c r="B73" s="2" t="s">
        <v>11</v>
      </c>
      <c r="C73" s="2" t="s">
        <v>34</v>
      </c>
      <c r="D73" s="2" t="s">
        <v>30</v>
      </c>
      <c r="E73" s="2">
        <f t="shared" si="13"/>
        <v>150</v>
      </c>
      <c r="F73" s="2">
        <f t="shared" si="14"/>
        <v>174</v>
      </c>
      <c r="G73" s="10">
        <v>1700</v>
      </c>
      <c r="H73" s="10">
        <f t="shared" si="12"/>
        <v>255</v>
      </c>
      <c r="I73" s="10">
        <v>75</v>
      </c>
      <c r="J73" s="10">
        <v>25</v>
      </c>
    </row>
    <row r="74" spans="1:10" x14ac:dyDescent="0.25">
      <c r="A74" s="2">
        <v>32</v>
      </c>
      <c r="B74" s="2" t="s">
        <v>11</v>
      </c>
      <c r="C74" s="2" t="s">
        <v>34</v>
      </c>
      <c r="D74" s="2" t="s">
        <v>30</v>
      </c>
      <c r="E74" s="2">
        <f t="shared" si="13"/>
        <v>160</v>
      </c>
      <c r="F74" s="2">
        <f t="shared" si="14"/>
        <v>185.6</v>
      </c>
      <c r="G74" s="10">
        <v>1700</v>
      </c>
      <c r="H74" s="10">
        <f t="shared" si="12"/>
        <v>272</v>
      </c>
      <c r="I74" s="10">
        <v>75</v>
      </c>
      <c r="J74" s="10">
        <v>25</v>
      </c>
    </row>
    <row r="75" spans="1:10" x14ac:dyDescent="0.25">
      <c r="A75" s="2">
        <v>34</v>
      </c>
      <c r="B75" s="2" t="s">
        <v>11</v>
      </c>
      <c r="C75" s="2" t="s">
        <v>34</v>
      </c>
      <c r="D75" s="2" t="s">
        <v>30</v>
      </c>
      <c r="E75" s="2">
        <f t="shared" si="13"/>
        <v>170</v>
      </c>
      <c r="F75" s="2">
        <f t="shared" si="14"/>
        <v>197.2</v>
      </c>
      <c r="G75" s="10">
        <v>1600</v>
      </c>
      <c r="H75" s="10">
        <f t="shared" si="12"/>
        <v>272</v>
      </c>
      <c r="I75" s="10">
        <v>75</v>
      </c>
      <c r="J75" s="10">
        <v>25</v>
      </c>
    </row>
    <row r="76" spans="1:10" x14ac:dyDescent="0.25">
      <c r="A76" s="2">
        <v>36</v>
      </c>
      <c r="B76" s="2" t="s">
        <v>11</v>
      </c>
      <c r="C76" s="2" t="s">
        <v>34</v>
      </c>
      <c r="D76" s="2" t="s">
        <v>30</v>
      </c>
      <c r="E76" s="2">
        <f t="shared" si="13"/>
        <v>180</v>
      </c>
      <c r="F76" s="2">
        <f t="shared" si="14"/>
        <v>208.79999999999998</v>
      </c>
      <c r="G76" s="10">
        <v>1600</v>
      </c>
      <c r="H76" s="10">
        <f t="shared" si="12"/>
        <v>288</v>
      </c>
      <c r="I76" s="10">
        <v>75</v>
      </c>
      <c r="J76" s="10">
        <v>25</v>
      </c>
    </row>
  </sheetData>
  <mergeCells count="2">
    <mergeCell ref="G1:H1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JANTA</vt:lpstr>
      <vt:lpstr>REGULAR</vt:lpstr>
      <vt:lpstr>SILVER</vt:lpstr>
      <vt:lpstr>GOLD</vt:lpstr>
      <vt:lpstr>PLATINUM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</dc:creator>
  <cp:lastModifiedBy>ANJANI</cp:lastModifiedBy>
  <dcterms:created xsi:type="dcterms:W3CDTF">2015-06-05T18:17:20Z</dcterms:created>
  <dcterms:modified xsi:type="dcterms:W3CDTF">2026-06-08T10:47:12Z</dcterms:modified>
</cp:coreProperties>
</file>